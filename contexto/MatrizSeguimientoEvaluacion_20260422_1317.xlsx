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082" documentId="11_A78776D1E842DF805D35AEE6E05861D715103029" xr6:coauthVersionLast="47" xr6:coauthVersionMax="47" xr10:uidLastSave="{BDC8A2F5-3104-48E7-84F6-082F9C57DC45}"/>
  <bookViews>
    <workbookView xWindow="-108" yWindow="-108" windowWidth="23256" windowHeight="12456" activeTab="1" xr2:uid="{00000000-000D-0000-FFFF-FFFF00000000}"/>
  </bookViews>
  <sheets>
    <sheet name="Ajustes" sheetId="4" r:id="rId1"/>
    <sheet name="MatrizSeguimientoEvaluacion" sheetId="1" r:id="rId2"/>
    <sheet name="OtrosEjecutoresDescentralizadas" sheetId="2" r:id="rId3"/>
    <sheet name="OtrosEjecutoresMunicipios" sheetId="3" r:id="rId4"/>
    <sheet name="Hoja1" sheetId="7" r:id="rId5"/>
    <sheet name="BPIN" sheetId="6" r:id="rId6"/>
  </sheets>
  <externalReferences>
    <externalReference r:id="rId7"/>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3" i="1" l="1"/>
  <c r="AW7" i="1"/>
  <c r="M3" i="2"/>
  <c r="M4" i="2"/>
  <c r="M5" i="2"/>
  <c r="M6" i="2"/>
  <c r="M7" i="2"/>
  <c r="M8" i="2"/>
  <c r="M9" i="2"/>
  <c r="M10" i="2"/>
  <c r="M11" i="2"/>
  <c r="M12" i="2"/>
  <c r="M13" i="2"/>
  <c r="M14" i="2"/>
  <c r="M15" i="2"/>
  <c r="M16" i="2"/>
  <c r="M18" i="2"/>
  <c r="AJ18" i="2" l="1"/>
  <c r="AE18" i="2"/>
  <c r="AD18" i="2"/>
  <c r="AC18" i="2"/>
  <c r="AB18" i="2"/>
  <c r="AJ17" i="2"/>
  <c r="AE17" i="2"/>
  <c r="AD17" i="2"/>
  <c r="AC17" i="2"/>
  <c r="AB17" i="2"/>
  <c r="AJ16" i="2"/>
  <c r="AE16" i="2"/>
  <c r="AD16" i="2"/>
  <c r="AC16" i="2"/>
  <c r="AB16" i="2"/>
  <c r="AJ15" i="2"/>
  <c r="AE15" i="2"/>
  <c r="AD15" i="2"/>
  <c r="AC15" i="2"/>
  <c r="AB15" i="2"/>
  <c r="AJ14" i="2"/>
  <c r="AE14" i="2"/>
  <c r="AD14" i="2"/>
  <c r="AC14" i="2"/>
  <c r="AB14" i="2"/>
  <c r="AJ13" i="2"/>
  <c r="AE13" i="2"/>
  <c r="AD13" i="2"/>
  <c r="AC13" i="2"/>
  <c r="AB13" i="2"/>
  <c r="AJ12" i="2"/>
  <c r="AE12" i="2"/>
  <c r="AD12" i="2"/>
  <c r="AC12" i="2"/>
  <c r="AB12" i="2"/>
  <c r="AJ11" i="2"/>
  <c r="AE11" i="2"/>
  <c r="AD11" i="2"/>
  <c r="AC11" i="2"/>
  <c r="AB11" i="2"/>
  <c r="AJ10" i="2"/>
  <c r="AE10" i="2"/>
  <c r="AD10" i="2"/>
  <c r="AC10" i="2"/>
  <c r="AB10" i="2"/>
  <c r="AJ9" i="2"/>
  <c r="AE9" i="2"/>
  <c r="AD9" i="2"/>
  <c r="AC9" i="2"/>
  <c r="AB9" i="2"/>
  <c r="AK8" i="2"/>
  <c r="AJ8" i="2"/>
  <c r="AE8" i="2"/>
  <c r="AD8" i="2"/>
  <c r="AC8" i="2"/>
  <c r="AB8" i="2"/>
  <c r="AJ7" i="2"/>
  <c r="AE7" i="2"/>
  <c r="AD7" i="2"/>
  <c r="AC7" i="2"/>
  <c r="AB7" i="2"/>
  <c r="AJ6" i="2"/>
  <c r="AE6" i="2"/>
  <c r="AD6" i="2"/>
  <c r="AC6" i="2"/>
  <c r="AB6" i="2"/>
  <c r="AJ5" i="2"/>
  <c r="AE5" i="2"/>
  <c r="AD5" i="2"/>
  <c r="AC5" i="2"/>
  <c r="AB5" i="2"/>
  <c r="AK4" i="2"/>
  <c r="AJ4" i="2"/>
  <c r="AE4" i="2"/>
  <c r="AD4" i="2"/>
  <c r="AC4" i="2"/>
  <c r="AB4" i="2"/>
  <c r="AK3" i="2"/>
  <c r="AJ3" i="2"/>
  <c r="AE3" i="2"/>
  <c r="AD3" i="2"/>
  <c r="AC3" i="2"/>
  <c r="AB3" i="2"/>
  <c r="AT7" i="1"/>
  <c r="AR7" i="1"/>
  <c r="AO7" i="1"/>
  <c r="AN7" i="1"/>
  <c r="AM7" i="1"/>
  <c r="AL7" i="1"/>
  <c r="AT58" i="1"/>
  <c r="AR58" i="1"/>
  <c r="AO58" i="1"/>
  <c r="AN58" i="1"/>
  <c r="AM58" i="1"/>
  <c r="AL58" i="1"/>
  <c r="AT57" i="1"/>
  <c r="AR57" i="1"/>
  <c r="AO57" i="1"/>
  <c r="AN57" i="1"/>
  <c r="AM57" i="1"/>
  <c r="AL57" i="1"/>
  <c r="AT56" i="1"/>
  <c r="AR56" i="1"/>
  <c r="AO56" i="1"/>
  <c r="AN56" i="1"/>
  <c r="AM56" i="1"/>
  <c r="AL56" i="1"/>
  <c r="AT55" i="1"/>
  <c r="AR55" i="1"/>
  <c r="AO55" i="1"/>
  <c r="AN55" i="1"/>
  <c r="AM55" i="1"/>
  <c r="AL55" i="1"/>
  <c r="AT54" i="1"/>
  <c r="AR54" i="1"/>
  <c r="AO54" i="1"/>
  <c r="AN54" i="1"/>
  <c r="AM54" i="1"/>
  <c r="AL54" i="1"/>
  <c r="AT53" i="1"/>
  <c r="AR53" i="1"/>
  <c r="AO53" i="1"/>
  <c r="AN53" i="1"/>
  <c r="AM53" i="1"/>
  <c r="AL53" i="1"/>
  <c r="AT34" i="1"/>
  <c r="AR34" i="1"/>
  <c r="AO34" i="1"/>
  <c r="AN34" i="1"/>
  <c r="AM34" i="1"/>
  <c r="AL34" i="1"/>
  <c r="AT28" i="1"/>
  <c r="AR28" i="1"/>
  <c r="AO28" i="1"/>
  <c r="AN28" i="1"/>
  <c r="AM28" i="1"/>
  <c r="AL28" i="1"/>
  <c r="AT52" i="1"/>
  <c r="AR52" i="1"/>
  <c r="AO52" i="1"/>
  <c r="AN52" i="1"/>
  <c r="AM52" i="1"/>
  <c r="AL52" i="1"/>
  <c r="AT49" i="1"/>
  <c r="AR49" i="1"/>
  <c r="AO49" i="1"/>
  <c r="AN49" i="1"/>
  <c r="AM49" i="1"/>
  <c r="AL49" i="1"/>
  <c r="AT24" i="1"/>
  <c r="AR24" i="1"/>
  <c r="AO24" i="1"/>
  <c r="AN24" i="1"/>
  <c r="AM24" i="1"/>
  <c r="AL24" i="1"/>
  <c r="AT47" i="1"/>
  <c r="AR47" i="1"/>
  <c r="AO47" i="1"/>
  <c r="AN47" i="1"/>
  <c r="AM47" i="1"/>
  <c r="AL47" i="1"/>
  <c r="AT23" i="1"/>
  <c r="AR23" i="1"/>
  <c r="AO23" i="1"/>
  <c r="AN23" i="1"/>
  <c r="AM23" i="1"/>
  <c r="AL23" i="1"/>
  <c r="AT51" i="1"/>
  <c r="AR51" i="1"/>
  <c r="AO51" i="1"/>
  <c r="AN51" i="1"/>
  <c r="AM51" i="1"/>
  <c r="AL51" i="1"/>
  <c r="AT44" i="1"/>
  <c r="AR44" i="1"/>
  <c r="AO44" i="1"/>
  <c r="AN44" i="1"/>
  <c r="AM44" i="1"/>
  <c r="AL44" i="1"/>
  <c r="AT22" i="1"/>
  <c r="AR22" i="1"/>
  <c r="AO22" i="1"/>
  <c r="AN22" i="1"/>
  <c r="AM22" i="1"/>
  <c r="AL22" i="1"/>
  <c r="AT21" i="1"/>
  <c r="AR21" i="1"/>
  <c r="AO21" i="1"/>
  <c r="AN21" i="1"/>
  <c r="AM21" i="1"/>
  <c r="AL21" i="1"/>
  <c r="AT20" i="1"/>
  <c r="AR20" i="1"/>
  <c r="AO20" i="1"/>
  <c r="AN20" i="1"/>
  <c r="AM20" i="1"/>
  <c r="AL20" i="1"/>
  <c r="AT40" i="1"/>
  <c r="AR40" i="1"/>
  <c r="AO40" i="1"/>
  <c r="AN40" i="1"/>
  <c r="AM40" i="1"/>
  <c r="AL40" i="1"/>
  <c r="AT18" i="1"/>
  <c r="AR18" i="1"/>
  <c r="AN18" i="1"/>
  <c r="AO18" i="1" s="1"/>
  <c r="AM18" i="1"/>
  <c r="AL18" i="1"/>
  <c r="AT50" i="1"/>
  <c r="AR50" i="1"/>
  <c r="AN50" i="1"/>
  <c r="AO50" i="1" s="1"/>
  <c r="AM50" i="1"/>
  <c r="AL50" i="1"/>
  <c r="AT16" i="1"/>
  <c r="AR16" i="1"/>
  <c r="AO16" i="1"/>
  <c r="AN16" i="1"/>
  <c r="AM16" i="1"/>
  <c r="AL16" i="1"/>
  <c r="AU37" i="1"/>
  <c r="AT37" i="1"/>
  <c r="AR37" i="1"/>
  <c r="AO37" i="1"/>
  <c r="AN37" i="1"/>
  <c r="AM37" i="1"/>
  <c r="AL37" i="1"/>
  <c r="AT36" i="1"/>
  <c r="AR36" i="1"/>
  <c r="AO36" i="1"/>
  <c r="AN36" i="1"/>
  <c r="AM36" i="1"/>
  <c r="AL36" i="1"/>
  <c r="AT48" i="1"/>
  <c r="AR48" i="1"/>
  <c r="AO48" i="1"/>
  <c r="AN48" i="1"/>
  <c r="AM48" i="1"/>
  <c r="AL48" i="1"/>
  <c r="AT13" i="1"/>
  <c r="AR13" i="1"/>
  <c r="AN13" i="1"/>
  <c r="AO13" i="1" s="1"/>
  <c r="AM13" i="1"/>
  <c r="AL13" i="1"/>
  <c r="AT33" i="1"/>
  <c r="AR33" i="1"/>
  <c r="AO33" i="1"/>
  <c r="AN33" i="1"/>
  <c r="AM33" i="1"/>
  <c r="AL33" i="1"/>
  <c r="AT32" i="1"/>
  <c r="AR32" i="1"/>
  <c r="AO32" i="1"/>
  <c r="AN32" i="1"/>
  <c r="AM32" i="1"/>
  <c r="AL32" i="1"/>
  <c r="AT31" i="1"/>
  <c r="AR31" i="1"/>
  <c r="AO31" i="1"/>
  <c r="AN31" i="1"/>
  <c r="AM31" i="1"/>
  <c r="AL31" i="1"/>
  <c r="AT30" i="1"/>
  <c r="AR30" i="1"/>
  <c r="AO30" i="1"/>
  <c r="AN30" i="1"/>
  <c r="AM30" i="1"/>
  <c r="AL30" i="1"/>
  <c r="AT29" i="1"/>
  <c r="AR29" i="1"/>
  <c r="AO29" i="1"/>
  <c r="AN29" i="1"/>
  <c r="AM29" i="1"/>
  <c r="AL29" i="1"/>
  <c r="AT46" i="1"/>
  <c r="AR46" i="1"/>
  <c r="AO46" i="1"/>
  <c r="AN46" i="1"/>
  <c r="AM46" i="1"/>
  <c r="AL46" i="1"/>
  <c r="AU27" i="1"/>
  <c r="AT27" i="1"/>
  <c r="AR27" i="1"/>
  <c r="AO27" i="1"/>
  <c r="AN27" i="1"/>
  <c r="AM27" i="1"/>
  <c r="AL27" i="1"/>
  <c r="AU26" i="1"/>
  <c r="AT26" i="1"/>
  <c r="AR26" i="1"/>
  <c r="AO26" i="1"/>
  <c r="AN26" i="1"/>
  <c r="AM26" i="1"/>
  <c r="AL26" i="1"/>
  <c r="AU25" i="1"/>
  <c r="AT25" i="1"/>
  <c r="AR25" i="1"/>
  <c r="AO25" i="1"/>
  <c r="AN25" i="1"/>
  <c r="AM25" i="1"/>
  <c r="AL25" i="1"/>
  <c r="AT9" i="1"/>
  <c r="AR9" i="1"/>
  <c r="AN9" i="1"/>
  <c r="AO9" i="1" s="1"/>
  <c r="AM9" i="1"/>
  <c r="AL9" i="1"/>
  <c r="AT45" i="1"/>
  <c r="AR45" i="1"/>
  <c r="AN45" i="1"/>
  <c r="AO45" i="1" s="1"/>
  <c r="AM45" i="1"/>
  <c r="AL45" i="1"/>
  <c r="AT5" i="1"/>
  <c r="AR5" i="1"/>
  <c r="AO5" i="1"/>
  <c r="AN5" i="1"/>
  <c r="AM5" i="1"/>
  <c r="AL5" i="1"/>
  <c r="AT43" i="1"/>
  <c r="AR43" i="1"/>
  <c r="AO43" i="1"/>
  <c r="AN43" i="1"/>
  <c r="AM43" i="1"/>
  <c r="AL43" i="1"/>
  <c r="AT42" i="1"/>
  <c r="AR42" i="1"/>
  <c r="AO42" i="1"/>
  <c r="AN42" i="1"/>
  <c r="AM42" i="1"/>
  <c r="AL42" i="1"/>
  <c r="AT6" i="1"/>
  <c r="AR6" i="1"/>
  <c r="AO6" i="1"/>
  <c r="AN6" i="1"/>
  <c r="AM6" i="1"/>
  <c r="AL6" i="1"/>
  <c r="AT19" i="1"/>
  <c r="AR19" i="1"/>
  <c r="AN19" i="1"/>
  <c r="AO19" i="1" s="1"/>
  <c r="AM19" i="1"/>
  <c r="AL19" i="1"/>
  <c r="AT41" i="1"/>
  <c r="AR41" i="1"/>
  <c r="AN41" i="1"/>
  <c r="AO41" i="1" s="1"/>
  <c r="AM41" i="1"/>
  <c r="AL41" i="1"/>
  <c r="AT17" i="1"/>
  <c r="AR17" i="1"/>
  <c r="AO17" i="1"/>
  <c r="AN17" i="1"/>
  <c r="AM17" i="1"/>
  <c r="AL17" i="1"/>
  <c r="AT39" i="1"/>
  <c r="AR39" i="1"/>
  <c r="AO39" i="1"/>
  <c r="AN39" i="1"/>
  <c r="AM39" i="1"/>
  <c r="AL39" i="1"/>
  <c r="AT15" i="1"/>
  <c r="AR15" i="1"/>
  <c r="AO15" i="1"/>
  <c r="AN15" i="1"/>
  <c r="AM15" i="1"/>
  <c r="AL15" i="1"/>
  <c r="AT14" i="1"/>
  <c r="AR14" i="1"/>
  <c r="AN14" i="1"/>
  <c r="AO14" i="1" s="1"/>
  <c r="AM14" i="1"/>
  <c r="AL14" i="1"/>
  <c r="AT4" i="1"/>
  <c r="AR4" i="1"/>
  <c r="AO4" i="1"/>
  <c r="AN4" i="1"/>
  <c r="AM4" i="1"/>
  <c r="AL4" i="1"/>
  <c r="AT38" i="1"/>
  <c r="AR38" i="1"/>
  <c r="AN38" i="1"/>
  <c r="AO38" i="1" s="1"/>
  <c r="AM38" i="1"/>
  <c r="AL38" i="1"/>
  <c r="AT12" i="1"/>
  <c r="AR12" i="1"/>
  <c r="AO12" i="1"/>
  <c r="AN12" i="1"/>
  <c r="AM12" i="1"/>
  <c r="AL12" i="1"/>
  <c r="AT11" i="1"/>
  <c r="AR11" i="1"/>
  <c r="AO11" i="1"/>
  <c r="AN11" i="1"/>
  <c r="AM11" i="1"/>
  <c r="AL11" i="1"/>
  <c r="AT3" i="1"/>
  <c r="AR3" i="1"/>
  <c r="AN3" i="1"/>
  <c r="AO3" i="1" s="1"/>
  <c r="AM3" i="1"/>
  <c r="AL3" i="1"/>
  <c r="AT10" i="1"/>
  <c r="AR10" i="1"/>
  <c r="AO10" i="1"/>
  <c r="AN10" i="1"/>
  <c r="AM10" i="1"/>
  <c r="AL10" i="1"/>
  <c r="AU35" i="1"/>
  <c r="AT35" i="1"/>
  <c r="AR35" i="1"/>
  <c r="AN35" i="1"/>
  <c r="AO35" i="1" s="1"/>
  <c r="AM35" i="1"/>
  <c r="AL35" i="1"/>
  <c r="AT8" i="1"/>
  <c r="AR8" i="1"/>
  <c r="AO8" i="1"/>
  <c r="AN8" i="1"/>
  <c r="AM8" i="1"/>
  <c r="AL8" i="1"/>
  <c r="AU8" i="1" s="1"/>
  <c r="AU49" i="1" l="1"/>
  <c r="AU32" i="1"/>
  <c r="AU54" i="1"/>
  <c r="AU30" i="1"/>
  <c r="AU12" i="1"/>
  <c r="AU36" i="1"/>
  <c r="AU7" i="1"/>
  <c r="AK18" i="2"/>
  <c r="AU56" i="1"/>
  <c r="AK15" i="2"/>
  <c r="AK11" i="2"/>
  <c r="AK13" i="2"/>
  <c r="AU58" i="1"/>
  <c r="AK12" i="2"/>
  <c r="AK17" i="2"/>
  <c r="AK16" i="2"/>
  <c r="AK7" i="2"/>
  <c r="AU16" i="1"/>
  <c r="AU33" i="1"/>
  <c r="AU52" i="1"/>
  <c r="AU48" i="1"/>
  <c r="AU24" i="1"/>
  <c r="AK14" i="2"/>
  <c r="AK10" i="2"/>
  <c r="AK6" i="2"/>
  <c r="AK9" i="2"/>
  <c r="AK5" i="2"/>
  <c r="AU13" i="1"/>
  <c r="AU53" i="1"/>
  <c r="AU28" i="1"/>
  <c r="AU51" i="1"/>
  <c r="AU38" i="1"/>
  <c r="AU42" i="1"/>
  <c r="AU5" i="1"/>
  <c r="AU46" i="1"/>
  <c r="AU4" i="1"/>
  <c r="AU15" i="1"/>
  <c r="AU20" i="1"/>
  <c r="AU22" i="1"/>
  <c r="AU31" i="1"/>
  <c r="AU17" i="1"/>
  <c r="AU19" i="1"/>
  <c r="AU40" i="1"/>
  <c r="AU21" i="1"/>
  <c r="AU55" i="1"/>
  <c r="AU57" i="1"/>
  <c r="AU50" i="1"/>
  <c r="AU44" i="1"/>
  <c r="AU23" i="1"/>
  <c r="AU11" i="1"/>
  <c r="AU43" i="1"/>
  <c r="AU34" i="1"/>
  <c r="AU14" i="1"/>
  <c r="AU39" i="1"/>
  <c r="AU41" i="1"/>
  <c r="AU45" i="1"/>
  <c r="AU6" i="1"/>
  <c r="AU10" i="1"/>
  <c r="AU47" i="1"/>
  <c r="AU29" i="1"/>
  <c r="AU3" i="1"/>
  <c r="AU18" i="1"/>
  <c r="AU9" i="1"/>
</calcChain>
</file>

<file path=xl/sharedStrings.xml><?xml version="1.0" encoding="utf-8"?>
<sst xmlns="http://schemas.openxmlformats.org/spreadsheetml/2006/main" count="2211" uniqueCount="985">
  <si>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</si>
  <si>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</si>
  <si>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</si>
  <si>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</si>
  <si>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</si>
  <si>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</si>
  <si>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</si>
  <si>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</si>
  <si>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</si>
  <si>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</si>
  <si>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</si>
  <si>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</si>
  <si>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</si>
  <si>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</si>
  <si>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</si>
  <si>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</si>
  <si>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</si>
  <si>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</si>
  <si>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</si>
  <si>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</si>
  <si>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</si>
  <si>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</si>
  <si>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</si>
  <si>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</si>
  <si>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</si>
  <si>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</si>
  <si>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</si>
  <si>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</si>
  <si>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</si>
  <si>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</si>
  <si>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</si>
  <si>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</si>
  <si>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</si>
  <si>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</si>
  <si>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</si>
  <si>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</si>
  <si>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</si>
  <si>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</si>
  <si>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</si>
  <si>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</si>
  <si>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</si>
  <si>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</si>
  <si>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</si>
  <si>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</si>
  <si>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</si>
  <si>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</si>
  <si>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</si>
  <si>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</si>
  <si>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</si>
  <si>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</si>
  <si>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</si>
  <si>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</si>
  <si>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Educación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</si>
  <si>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</si>
  <si>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</si>
  <si>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</si>
  <si>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</si>
  <si>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</si>
  <si>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</si>
  <si>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</si>
  <si>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</si>
  <si>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</si>
  <si>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</si>
  <si>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</si>
  <si>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</si>
  <si>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</si>
  <si>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</si>
  <si>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CONTRATADO EN EJECUCIÓN</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</si>
  <si>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</si>
  <si>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</si>
  <si>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</si>
  <si>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</si>
  <si>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</si>
  <si>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</si>
  <si>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</si>
  <si>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</si>
  <si>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Proyecto terminado en espera de actas de liquidación para cerrar</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</si>
  <si>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</si>
  <si>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</si>
  <si>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</si>
  <si>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</si>
  <si>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</si>
  <si>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</si>
  <si>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</si>
  <si>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</si>
  <si>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</si>
  <si>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</si>
  <si>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</si>
  <si>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</si>
  <si>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</si>
  <si>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</si>
  <si>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</si>
  <si>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</si>
  <si>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</si>
  <si>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</si>
  <si>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</si>
  <si>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</si>
  <si>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</si>
  <si>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</si>
  <si>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</si>
  <si>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</si>
  <si>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</si>
  <si>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</si>
  <si>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</si>
  <si>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</si>
  <si>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</si>
  <si>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</si>
  <si>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</si>
  <si>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</si>
  <si>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</si>
  <si>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</si>
  <si>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</si>
  <si>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</si>
  <si>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</si>
  <si>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</si>
  <si>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</si>
  <si>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</si>
  <si>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</si>
  <si>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</si>
  <si>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</si>
  <si>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</si>
  <si>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</si>
  <si>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</si>
  <si>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</si>
  <si>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</si>
  <si>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</si>
  <si>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</si>
  <si>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</si>
  <si>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</si>
  <si>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</si>
  <si>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</si>
  <si>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</si>
  <si>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</si>
  <si>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</si>
  <si>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</si>
  <si>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</si>
  <si>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</si>
  <si>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</si>
  <si>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</si>
  <si>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</si>
  <si>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</si>
  <si>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</si>
  <si>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</si>
  <si>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</si>
  <si>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</si>
  <si>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</si>
  <si>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</si>
  <si>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</si>
  <si>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</si>
  <si>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Proyecto en estado de ejecución, con contrato en ejecución y calificación de 75 puntos en el mes de febrero, conforme a su avance de ejecución, teniendo en cuenta el costo, la programación y la brecha entre lo físico y lo financiero.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</si>
  <si>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</si>
  <si>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</si>
  <si>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</si>
  <si>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</si>
  <si>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</si>
  <si>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</si>
  <si>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</si>
  <si>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</si>
  <si>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</si>
  <si>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</si>
  <si>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</si>
  <si>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</si>
  <si>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</si>
  <si>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</si>
  <si>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</si>
  <si>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</si>
  <si>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</si>
  <si>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</si>
  <si>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</si>
  <si>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 xml:space="preserve">Suspendido                                                            </t>
  </si>
  <si>
    <t>SGR - Asignación para la ciencia, tecnología e innovación – Convocatorias 2021 -Ambiente y desarrollo sostenible</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</si>
  <si>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</si>
  <si>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</si>
  <si>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</si>
  <si>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</si>
  <si>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</si>
  <si>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</si>
  <si>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</si>
  <si>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</si>
  <si>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</si>
  <si>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</si>
  <si>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</si>
  <si>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</si>
  <si>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</si>
  <si>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</si>
  <si>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</si>
  <si>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</si>
  <si>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</si>
  <si>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</si>
  <si>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</si>
  <si>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</si>
  <si>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</si>
  <si>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</si>
  <si>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</si>
  <si>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</si>
  <si>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</si>
  <si>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</si>
  <si>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</si>
  <si>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</si>
  <si>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</si>
  <si>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El contrato de obra e interventoría se encuentran suspendidos.</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</si>
  <si>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</si>
  <si>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</si>
  <si>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</si>
  <si>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</si>
  <si>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</si>
  <si>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</si>
  <si>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</si>
  <si>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</si>
  <si>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</si>
  <si>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</si>
  <si>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</si>
  <si>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</si>
  <si>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</si>
  <si>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</si>
  <si>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</si>
  <si>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</si>
  <si>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</si>
  <si>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</si>
  <si>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</si>
  <si>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</si>
  <si>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</si>
  <si>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</si>
  <si>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</si>
  <si>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</si>
  <si>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</si>
  <si>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</si>
  <si>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</si>
  <si>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Proyecto en estado de ejecución, con contrato en ejecución y calificación de 93,91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</si>
  <si>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</si>
  <si>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</si>
  <si>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</si>
  <si>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</si>
  <si>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</si>
  <si>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</si>
  <si>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</si>
  <si>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</si>
  <si>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</si>
  <si>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</si>
  <si>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</si>
  <si>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</si>
  <si>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</si>
  <si>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</si>
  <si>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</si>
  <si>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</si>
  <si>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</si>
  <si>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</si>
  <si>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</si>
  <si>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</si>
  <si>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Proyecto en estado de ejecución, con contrato en ejecución y calificación de 78,26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</si>
  <si>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</si>
  <si>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</si>
  <si>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</si>
  <si>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</si>
  <si>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</si>
  <si>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</si>
  <si>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</si>
  <si>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</si>
  <si>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</si>
  <si>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Proyecto en estado de ejecución, con contrato en ejecución y calificación de 81,39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</si>
  <si>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</si>
  <si>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</si>
  <si>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</si>
  <si>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</si>
  <si>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</si>
  <si>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</si>
  <si>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</si>
  <si>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</si>
  <si>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</si>
  <si>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</si>
  <si>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Proyecto en estado de ejecución, con contrato en ejecución y calificación de 81,39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</si>
  <si>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</si>
  <si>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</si>
  <si>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</si>
  <si>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</si>
  <si>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 xml:space="preserve">Proyecto en estado de ejecución, con contrato en ejecución y calificación de 90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</si>
  <si>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</si>
  <si>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</si>
  <si>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</si>
  <si>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Proyecto en estado de ejecución, con contrato en ejecución y calificación de 98,26  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</si>
  <si>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</si>
  <si>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</si>
  <si>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</si>
  <si>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</si>
  <si>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</si>
  <si>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</si>
  <si>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</si>
  <si>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</si>
  <si>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</si>
  <si>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</si>
  <si>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</si>
  <si>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</si>
  <si>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</si>
  <si>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</si>
  <si>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</si>
  <si>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</si>
  <si>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</si>
  <si>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</si>
  <si>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</si>
  <si>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</si>
  <si>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</si>
  <si>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</si>
  <si>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</si>
  <si>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</si>
  <si>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</si>
  <si>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</si>
  <si>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</si>
  <si>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</si>
  <si>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</si>
  <si>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Mejoramiento de la vía sampues-Segovia-Sincelejo en el departamento de  Sucre</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</si>
  <si>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</si>
  <si>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</si>
  <si>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</si>
  <si>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</si>
  <si>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</si>
  <si>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</si>
  <si>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</si>
  <si>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</si>
  <si>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</si>
  <si>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</si>
  <si>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</si>
  <si>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</si>
  <si>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</si>
  <si>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</si>
  <si>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</si>
  <si>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</si>
  <si>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</si>
  <si>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</si>
  <si>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</si>
  <si>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</si>
  <si>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</si>
  <si>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</si>
  <si>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</si>
  <si>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</si>
  <si>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</si>
  <si>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</si>
  <si>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</si>
  <si>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</si>
  <si>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</si>
  <si>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</si>
  <si>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</si>
  <si>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</si>
  <si>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</si>
  <si>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</si>
  <si>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</si>
  <si>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</si>
  <si>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</si>
  <si>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</si>
  <si>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</si>
  <si>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</si>
  <si>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</si>
  <si>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</si>
  <si>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</si>
  <si>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</si>
  <si>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</si>
  <si>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</si>
  <si>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</si>
  <si>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</si>
  <si>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</si>
  <si>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</si>
  <si>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</si>
  <si>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</si>
  <si>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</si>
  <si>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</si>
  <si>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</si>
  <si>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</si>
  <si>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</si>
  <si>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</si>
  <si>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</si>
  <si>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</si>
  <si>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</si>
  <si>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</si>
  <si>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</si>
  <si>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</si>
  <si>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</si>
  <si>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</si>
  <si>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</si>
  <si>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</si>
  <si>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</si>
  <si>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</si>
  <si>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</si>
  <si>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</si>
  <si>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</si>
  <si>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</si>
  <si>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</si>
  <si>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</si>
  <si>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</si>
  <si>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</si>
  <si>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</si>
  <si>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</si>
  <si>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</si>
  <si>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</si>
  <si>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</si>
  <si>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</si>
  <si>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</si>
  <si>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</si>
  <si>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</si>
  <si>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</si>
  <si>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</si>
  <si>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</si>
  <si>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</si>
  <si>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</si>
  <si>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</si>
  <si>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</si>
  <si>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</si>
  <si>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</si>
  <si>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</si>
  <si>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</si>
  <si>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</si>
  <si>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</si>
  <si>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</si>
  <si>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Contratado sin ejecución</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</si>
  <si>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</si>
  <si>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</si>
  <si>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</si>
  <si>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</si>
  <si>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</si>
  <si>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</si>
  <si>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</si>
  <si>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</si>
  <si>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</si>
  <si>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</si>
  <si>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</si>
  <si>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</si>
  <si>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</si>
  <si>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</si>
  <si>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</si>
  <si>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</si>
  <si>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</si>
  <si>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</si>
  <si>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</si>
  <si>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</si>
  <si>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</si>
  <si>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</si>
  <si>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</si>
  <si>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</si>
  <si>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</si>
  <si>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</si>
  <si>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</si>
  <si>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</si>
  <si>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</si>
  <si>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</si>
  <si>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</si>
  <si>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</si>
  <si>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</si>
  <si>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</si>
  <si>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</si>
  <si>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</si>
  <si>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</si>
  <si>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</si>
  <si>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</si>
  <si>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</si>
  <si>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</si>
  <si>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</si>
  <si>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</si>
  <si>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</si>
  <si>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</si>
  <si>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</si>
  <si>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</si>
  <si>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</si>
  <si>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</si>
  <si>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</si>
  <si>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</si>
  <si>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</si>
  <si>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</si>
  <si>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</si>
  <si>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</si>
  <si>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</si>
  <si>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</si>
  <si>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</si>
  <si>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</si>
  <si>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</si>
  <si>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</si>
  <si>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</si>
  <si>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</si>
  <si>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</si>
  <si>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</si>
  <si>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</si>
  <si>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</si>
  <si>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</si>
  <si>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</si>
  <si>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</si>
  <si>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</si>
  <si>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</si>
  <si>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</si>
  <si>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</si>
  <si>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</si>
  <si>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</si>
  <si>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</si>
  <si>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</si>
  <si>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</si>
  <si>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</si>
  <si>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</si>
  <si>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</si>
  <si>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</si>
  <si>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</si>
  <si>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</si>
  <si>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</si>
  <si>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</si>
  <si>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</si>
  <si>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</si>
  <si>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</si>
  <si>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</si>
  <si>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</si>
  <si>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</si>
  <si>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</si>
  <si>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</si>
  <si>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</si>
  <si>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</si>
  <si>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</si>
  <si>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</si>
  <si>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</si>
  <si>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</si>
  <si>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</si>
  <si>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</si>
  <si>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</si>
  <si>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</si>
  <si>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</si>
  <si>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</si>
  <si>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</si>
  <si>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</si>
  <si>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</si>
  <si>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</si>
  <si>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</si>
  <si>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</si>
  <si>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</si>
  <si>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</si>
  <si>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</si>
  <si>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</si>
  <si>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</si>
  <si>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</si>
  <si>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</si>
  <si>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</si>
  <si>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</si>
  <si>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</si>
  <si>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</si>
  <si>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</si>
  <si>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</si>
  <si>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</si>
  <si>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</si>
  <si>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</si>
  <si>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</si>
  <si>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</si>
  <si>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</si>
  <si>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</si>
  <si>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</si>
  <si>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</si>
  <si>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</si>
  <si>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</si>
  <si>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</si>
  <si>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</si>
  <si>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</si>
  <si>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</si>
  <si>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</si>
  <si>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</si>
  <si>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</si>
  <si>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</si>
  <si>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</si>
  <si>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</si>
  <si>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</si>
  <si>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</si>
  <si>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</si>
  <si>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</si>
  <si>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</si>
  <si>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</si>
  <si>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</si>
  <si>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</si>
  <si>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</si>
  <si>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</si>
  <si>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</si>
  <si>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</si>
  <si>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</si>
  <si>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</si>
  <si>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</si>
  <si>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</si>
  <si>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</si>
  <si>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</si>
  <si>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</si>
  <si>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</si>
  <si>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</si>
  <si>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</si>
  <si>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</si>
  <si>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</si>
  <si>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</si>
  <si>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</si>
  <si>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</si>
  <si>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</si>
  <si>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</si>
  <si>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</si>
  <si>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</si>
  <si>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</si>
  <si>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</si>
  <si>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</si>
  <si>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</si>
  <si>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</si>
  <si>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</si>
  <si>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</si>
  <si>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</si>
  <si>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</si>
  <si>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</si>
  <si>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</si>
  <si>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</si>
  <si>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</si>
  <si>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</si>
  <si>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</si>
  <si>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</si>
  <si>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</si>
  <si>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</si>
  <si>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</si>
  <si>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</si>
  <si>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</si>
  <si>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</si>
  <si>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</si>
  <si>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</si>
  <si>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</si>
  <si>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</si>
  <si>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</si>
  <si>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</si>
  <si>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</si>
  <si>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</si>
  <si>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</si>
  <si>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</si>
  <si>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</si>
  <si>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</si>
  <si>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</si>
  <si>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</si>
  <si>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</si>
  <si>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</si>
  <si>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</si>
  <si>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</si>
  <si>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</si>
  <si>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</si>
  <si>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</si>
  <si>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</si>
  <si>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</si>
  <si>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</si>
  <si>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</si>
  <si>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</si>
  <si>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</si>
  <si>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</si>
  <si>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</si>
  <si>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</si>
  <si>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</si>
  <si>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</si>
  <si>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</si>
  <si>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</si>
  <si>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</si>
  <si>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</si>
  <si>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</si>
  <si>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</si>
  <si>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</si>
  <si>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</si>
  <si>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</si>
  <si>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</si>
  <si>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</si>
  <si>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</si>
  <si>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</si>
  <si>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</si>
  <si>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</si>
  <si>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</si>
  <si>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</si>
  <si>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</si>
  <si>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</si>
  <si>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</si>
  <si>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</si>
  <si>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</si>
  <si>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</si>
  <si>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</si>
  <si>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</si>
  <si>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</si>
  <si>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</si>
  <si>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</si>
  <si>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</si>
  <si>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</si>
  <si>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</si>
  <si>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</si>
  <si>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</si>
  <si>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</si>
  <si>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</si>
  <si>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</si>
  <si>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</si>
  <si>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</si>
  <si>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</si>
  <si>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</si>
  <si>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</si>
  <si>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</si>
  <si>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</si>
  <si>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</si>
  <si>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</si>
  <si>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</si>
  <si>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</si>
  <si>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</si>
  <si>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</si>
  <si>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</si>
  <si>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</si>
  <si>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</si>
  <si>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</si>
  <si>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</si>
  <si>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</si>
  <si>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</si>
  <si>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</si>
  <si>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</si>
  <si>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</si>
  <si>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</si>
  <si>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</si>
  <si>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</si>
  <si>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</si>
  <si>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</si>
  <si>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</si>
  <si>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</si>
  <si>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</si>
  <si>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</si>
  <si>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</si>
  <si>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</si>
  <si>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</si>
  <si>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</si>
  <si>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</si>
  <si>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</si>
  <si>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</si>
  <si>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</si>
  <si>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</si>
  <si>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</si>
  <si>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</si>
  <si>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</si>
  <si>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</si>
  <si>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</si>
  <si>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</si>
  <si>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</si>
  <si>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</si>
  <si>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</si>
  <si>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</si>
  <si>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</si>
  <si>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</si>
  <si>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</si>
  <si>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</si>
  <si>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</si>
  <si>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</si>
  <si>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</si>
  <si>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</si>
  <si>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</si>
  <si>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</si>
  <si>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</si>
  <si>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</si>
  <si>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</si>
  <si>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</si>
  <si>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</si>
  <si>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</si>
  <si>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</si>
  <si>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</si>
  <si>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</si>
  <si>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</si>
  <si>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</si>
  <si>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</si>
  <si>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</si>
  <si>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</si>
  <si>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</si>
  <si>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</si>
  <si>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</si>
  <si>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</si>
  <si>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</si>
  <si>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</si>
  <si>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</si>
  <si>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</si>
  <si>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</si>
  <si>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</si>
  <si>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</si>
  <si>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</si>
  <si>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</si>
  <si>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</si>
  <si>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</si>
  <si>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</si>
  <si>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</si>
  <si>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</si>
  <si>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</si>
  <si>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</si>
  <si>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</si>
  <si>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</si>
  <si>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</si>
  <si>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</si>
  <si>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</si>
  <si>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</si>
  <si>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</si>
  <si>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</si>
  <si>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</si>
  <si>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</si>
  <si>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</si>
  <si>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</si>
  <si>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</si>
  <si>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</si>
  <si>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</si>
  <si>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</si>
  <si>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</si>
  <si>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</si>
  <si>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</si>
  <si>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</si>
  <si>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</si>
  <si>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Proyecto en ejecución con contrato suspendido</t>
  </si>
  <si>
    <t>Proyecto terminado pero sigue apareciendo en la plataforma en ejecución</t>
  </si>
  <si>
    <t>CAMBIO</t>
  </si>
  <si>
    <t>MATRIZ</t>
  </si>
  <si>
    <t xml:space="preserve">AGREGAR COLUMNA </t>
  </si>
  <si>
    <t xml:space="preserve">DEPARTAMENTO </t>
  </si>
  <si>
    <t>HORIZONTE EN DESCENTRALIZADAS</t>
  </si>
  <si>
    <t xml:space="preserve">RESPONSABLE DEL PROYECTO </t>
  </si>
  <si>
    <t>DESCENTRALIZADAS</t>
  </si>
  <si>
    <t>TIPO DE CAMBIO</t>
  </si>
  <si>
    <t>AGREGAR CARACTERISTICAS</t>
  </si>
  <si>
    <t>% FÍSICO Y FINANCIERO EN LA TARJETA DE ESTADO DEL PROYECTO</t>
  </si>
  <si>
    <t>PÁGINA REPORTE  SEGUIMIENTO</t>
  </si>
  <si>
    <t xml:space="preserve">REVISIÓN </t>
  </si>
  <si>
    <t>REPORTE DE EXCEL</t>
  </si>
  <si>
    <t>AJUSTE</t>
  </si>
  <si>
    <t>CÁLCULO H2</t>
  </si>
  <si>
    <t>AGREGAR LOS MUNICIPIOS</t>
  </si>
  <si>
    <t>AGREGAR LAS DESCENTRALIZADAS</t>
  </si>
  <si>
    <t>RESPONSABLE CARGUE EN GESPROY</t>
  </si>
  <si>
    <t>YEIMI MONTAÑA DÍAZ</t>
  </si>
  <si>
    <t>SERGIO VILLALBA MERCADO</t>
  </si>
  <si>
    <t xml:space="preserve">LUIS FERNANDO ARRIETA PINZÓN </t>
  </si>
  <si>
    <t>YEIMI MONTAÑA DÍAZ
ASDRUVAL AVILEZ DÍAZ</t>
  </si>
  <si>
    <t xml:space="preserve">SERGIO VILLALBA MERCADO
ASDRUVAL AVILEZ DÍAZ
</t>
  </si>
  <si>
    <t>ZAMARA GARCÍA MARTÍNEZ</t>
  </si>
  <si>
    <t>OSVALDO SIERRA CARVAJALINO</t>
  </si>
  <si>
    <t>DESCENTRALIZADAS Y MUNIICIPIOS</t>
  </si>
  <si>
    <t>AGREGAR COLUMNA DE SECTOR</t>
  </si>
  <si>
    <t>HITO 2 E HITO 1 QUE NO SE REPITAN LOS PROYECTOS</t>
  </si>
  <si>
    <t>PAGINA FILTRO DE LOS MUNICIPIOS</t>
  </si>
  <si>
    <t>DÍAS DE CORTE Y DÍAS A FECHA ACTUAL</t>
  </si>
  <si>
    <t xml:space="preserve">PAGINA REPORTE SEGUIMIENTO </t>
  </si>
  <si>
    <t xml:space="preserve">MOSTRAR COMENTARIOS DE LA MATRIZ EN LOS HITOS </t>
  </si>
  <si>
    <t>COMENTARIOS</t>
  </si>
  <si>
    <t>Si</t>
  </si>
  <si>
    <t>HERRAMIENTA</t>
  </si>
  <si>
    <t>Consolidación regalías</t>
  </si>
  <si>
    <t>Seguimiento Regalías</t>
  </si>
  <si>
    <t>CAMBIO NOMBRE COLUMNA</t>
  </si>
  <si>
    <t>FECHA DE INCORPORACIÓN DE RECUROS -&gt; FECHA DE INCORPORACIÓN DE RECURSOS</t>
  </si>
  <si>
    <t>REALIZADO</t>
  </si>
  <si>
    <t>13/05/2026: Proyecto realizó apertura de proceso de simulación en Colombia compra eficiente  de la  compra de maquinaria amarilla-agrícola (5-marzo de 2026), este proceso fue declarado desierto.
Conforme a la información proporcionada por la sectorial ya fueron radicados nuevamente  los estudios previos  a contratación el 04/05/2026</t>
  </si>
  <si>
    <t>2025000020006</t>
  </si>
  <si>
    <t>Sincelejo</t>
  </si>
  <si>
    <t>Todo el Departamento de Sucre</t>
  </si>
  <si>
    <t>San Benito Abad, Majagual, Sucre</t>
  </si>
  <si>
    <t>El Roble, Caimito, San Marcos</t>
  </si>
  <si>
    <t>Corozal, San Onofre, Morroa, Majagual, San Marcos</t>
  </si>
  <si>
    <t>San Benito Abad</t>
  </si>
  <si>
    <t>San Onofre</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</si>
  <si>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</si>
  <si>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San Marcos, Caimito, San Benito Abad, Guaranda, Sucre, Majagual</t>
  </si>
  <si>
    <t>La Unión</t>
  </si>
  <si>
    <t>Sincelejo, Corozal</t>
  </si>
  <si>
    <t>Majagual, San Benito Abad, Corozal, Ovejas, San Onofre</t>
  </si>
  <si>
    <t>Santiago de Tolú</t>
  </si>
  <si>
    <t>Morroa</t>
  </si>
  <si>
    <t>Sucre</t>
  </si>
  <si>
    <t>Corozal</t>
  </si>
  <si>
    <t>El Roble, Sampués, Galeras, Buenavista, Los Palmitos, Corozal, Ovejas, Colosó, San José de Toluviejo</t>
  </si>
  <si>
    <t>San Juan de Betulia, San Marcos</t>
  </si>
  <si>
    <t>Colosó, San José de Toluviejo</t>
  </si>
  <si>
    <t>Sucre, San Marcos, Guaranda, Caimito, La Unión, San Benito Abad, Majagual</t>
  </si>
  <si>
    <t>Ovejas, Santiago de Tolú, Corozal</t>
  </si>
  <si>
    <t>San José de Toluviejo</t>
  </si>
  <si>
    <t>San Marcos, Sucre</t>
  </si>
  <si>
    <t>Chalán</t>
  </si>
  <si>
    <t>Coveñas</t>
  </si>
  <si>
    <t>Sampués</t>
  </si>
  <si>
    <t>Guaranda, Santiago de Tolú, Sucre, Buenavista, Caimito, Los Palmitos, Colosó, Corozal, San Juan de Betulia, Majagual, San Marcos, Morroa, San Benito Abad, San Pedro, Sampués, San José de Toluviejo, Palmito, Galeras, Ovejas, La Unión, El Roble, Chalán, San Luis de Sincé, San Onofre</t>
  </si>
  <si>
    <t>San Benito Abad, Galeras</t>
  </si>
  <si>
    <t>Caimito, El Roble, San Onofre, Palmito, Santiago de Tolú</t>
  </si>
  <si>
    <t>San José de Toluviejo, Sincelejo, Galeras</t>
  </si>
  <si>
    <t>San Luis De Sincé, Morroa, Sampués</t>
  </si>
  <si>
    <t>MUNICIPIOS</t>
  </si>
  <si>
    <t/>
  </si>
  <si>
    <t>Morroa, San Pedro, Santiago de Tolú, Sincelejo, Corozal</t>
  </si>
  <si>
    <t>Sincelejo, Santiago de Tolú</t>
  </si>
  <si>
    <t>El Roble</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</si>
  <si>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</si>
  <si>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</si>
  <si>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</si>
  <si>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Se encuentra en trámites el acta de liquidación del contrato de interventoría.</t>
  </si>
  <si>
    <t>Se encuentra en trámite las actas de liquidación del contrato de obra e interventoría.</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</si>
  <si>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</si>
  <si>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</si>
  <si>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</si>
  <si>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Continúa suspendido </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</si>
  <si>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</si>
  <si>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</si>
  <si>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</si>
  <si>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Teniendo en cuenta que el proyecto se encuentra con una ejecución física del 100%, se solicita remitir acta final y pólizas actualizadas aprobadas de los contratos y/o modificaciones si se han presentado</t>
  </si>
  <si>
    <t>Teniendo en cuenta que el proyecto se encuentra con una ejecución física del 100%, se solicita remitir acta final con pólizas actualizadas y aprobadas y/o modificaciones si se han presentado.</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</si>
  <si>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</si>
  <si>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</si>
  <si>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</si>
  <si>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</si>
  <si>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 Se solicita remitir acta de aprobación de pólizas de acuerdo con el acta final y acta de liquidación para proceder al cierre del proyecto</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</si>
  <si>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</si>
  <si>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</si>
  <si>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Se solicita remitir el acta de liquidación del proyecto, el formato de sostenibilidad e indicadores, así como las pólizas actualizadas correspondientes al acta final y/o a las modificaciones que se hayan realizado</t>
  </si>
  <si>
    <t>Orden de pago de acta final del contrato de obra</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</si>
  <si>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</si>
  <si>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</si>
  <si>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 xml:space="preserve">Nos permitimos informar que este presenta un avance del 100 % en su ejecución física. No obstante, se encuentra pendiente la culminación de la ejecución financiera, requisito necesario para proceder con la elaboración del acta final. </t>
  </si>
  <si>
    <t>·         Conforme a la información remitida, la Secretaría de Planeación se encuentra adelantando el trámite correspondiente para la expedición del acto administrativo de cierre del proyecto.</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</si>
  <si>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</si>
  <si>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</si>
  <si>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</si>
  <si>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</si>
  <si>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Se solicita liquidación del proyecto</t>
  </si>
  <si>
    <t>·         Se solicita remitir el avance de ejecución correspondiente al mes de abril de 2026 y/o las modificaciones realizadas.</t>
  </si>
  <si>
    <t>Avance de ejecución del mes de abril 2026
Documento de soporte de avance de ejecución mes de abril 2026</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</si>
  <si>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</si>
  <si>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</si>
  <si>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</si>
  <si>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</si>
  <si>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</si>
  <si>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</si>
  <si>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</si>
  <si>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</si>
  <si>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</si>
  <si>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</si>
  <si>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se solicita la remisión de la ejecución correspondiente al mes de abril de 2026 y/o modificaciones.</t>
  </si>
  <si>
    <t xml:space="preserve">Se envía informe de avance del mes de abril y respectiva prorroga en la ejecución.  </t>
  </si>
  <si>
    <t>·         Se solicita remitir avance de ejecución del mes de abril de 2026, además remitir pólizas iniciales y con acta de inicio de los contratos y/o modificaciones si se han presentado.</t>
  </si>
  <si>
    <t>Se solicita remitir el avance de ejecución correspondiente al mes de marzo de 2026 y/o las modificaciones realizadas, además se solicita información de los contratistas (Rut, acta consorcial, pólizas iniciales), minutas contractuales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</si>
  <si>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</si>
  <si>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</si>
  <si>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</si>
  <si>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</si>
  <si>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</si>
  <si>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</si>
  <si>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</si>
  <si>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</si>
  <si>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</si>
  <si>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</si>
  <si>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Mediante la Resolución No. 1906 del 8 de mayo de 2026, se ordena la apertura del proceso por concurso de méritos abierto No. CM-003-2026</t>
  </si>
  <si>
    <t>No se recibió información</t>
  </si>
  <si>
    <t>Me permito solicitar el número de beneficiarios y la sostenibilidad</t>
  </si>
  <si>
    <t xml:space="preserve"> Se solicita liquidación del proyecto.</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</si>
  <si>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</si>
  <si>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solicita remitir acta de liquidación de los contratos y sostenibilidad del proyecto para proceder con el cierre del proyecto en el aplicativo Gesproy-SGR.</t>
  </si>
  <si>
    <t>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riteración y se está a la espera de respuesta. Una vez se cuente con el registro de los pagos del contrato CONV-015-2023, se podrá proceder con el cargue de la liquidación correspondiente. 
El 20 de abril de 2026 se solitó  el cuestionario de beneficiarios y sostenibilidad a la secretaría de educación, con reiteración el 30 de abril de 2026 y a la fecha no se recibe información.</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</si>
  <si>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</si>
  <si>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AGREGAR LINK SECOP CONTRATOS</t>
  </si>
  <si>
    <t>MATRIZ CONTRATOS REPORTE GESPROY</t>
  </si>
  <si>
    <t>No</t>
  </si>
  <si>
    <t>AGREGAR IGPR 2026</t>
  </si>
  <si>
    <t>PUNTAJE IGPR I TRIMESTRE  2026</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</si>
  <si>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</si>
  <si>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</si>
  <si>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Proyecto pasó a terminado, se debe solicitar liquidación para proceder con su cierre.</t>
  </si>
  <si>
    <r>
      <t xml:space="preserve">Proyecto en estado de ejecución, con contrato en ejecución y calificación de </t>
    </r>
    <r>
      <rPr>
        <sz val="10"/>
        <color rgb="FFFF0000"/>
        <rFont val="Roboto"/>
      </rPr>
      <t xml:space="preserve">96 </t>
    </r>
    <r>
      <rPr>
        <sz val="10"/>
        <color theme="1"/>
        <rFont val="Roboto"/>
        <family val="2"/>
      </rPr>
      <t xml:space="preserve"> puntos en el mes de marzo, conforme a su avance de ejecución, teniendo en cuenta el costo, la programación y la brecha entre lo físico y lo financiero.</t>
    </r>
  </si>
  <si>
    <t>Avance de ejecución del mes de abril 2026 y documento soporte de ejecución mes de abril de 2026.</t>
  </si>
  <si>
    <t>Proyecto en estado “Sin contratar”,  sin registro de proceso precontractual en SECOP II. Se encuentra en elaboración de estudios previos por parte de la sectorial</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</si>
  <si>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</si>
  <si>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</si>
  <si>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</si>
  <si>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Proyecto se encuentra terminado  desde el mes de abril de 2026, sE solicita actualización de polizas con todas las modificaciones presentadas en el proyecto para poderlo pasar a estado terminado</t>
  </si>
  <si>
    <r>
      <t xml:space="preserve">Proyecto en estado de ejecución, con contrato en ejecución y calificación de </t>
    </r>
    <r>
      <rPr>
        <sz val="10"/>
        <color rgb="FFFF0000"/>
        <rFont val="Roboto"/>
      </rPr>
      <t>90</t>
    </r>
    <r>
      <rPr>
        <sz val="10"/>
        <color theme="1"/>
        <rFont val="Roboto"/>
        <family val="2"/>
      </rPr>
      <t xml:space="preserve"> puntos en el mes de febrero, conforme a su avance de ejecución, teniendo en cuenta el costo, la programación y la brecha entre lo físico y lo financiero. ( A la espera de que se remita información de algunas pólizas de los contratos para ser registrada en la plataforma)</t>
    </r>
  </si>
  <si>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</si>
  <si>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</si>
  <si>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</si>
  <si>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</si>
  <si>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</si>
  <si>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</si>
  <si>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avance de ejecucion del mes de abril 2026,en formato exel documentos de soportes de ejecusion mes de abril 2026</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</si>
  <si>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</si>
  <si>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 xml:space="preserve"> Proyecto en estado “Sin contratar”,  sin registro de proceso precontractual en SECOP II. Se encuentra en elaboración de estudios previos por parte de la sectorial
</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</si>
  <si>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</si>
  <si>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</si>
  <si>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Se solicita remitir acta final del contrato de obra e interventoría con sus respectivas pólizas actualizadas</t>
  </si>
  <si>
    <t>El proyecto se encuentra finalizado, sin embargo, no se ha remitido el acta final, lo que ocasiona que en la plataforma continúe en estado “en ejecución”, generando una baja calificación.</t>
  </si>
  <si>
    <t>Ejecución del proyecto</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</si>
  <si>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</si>
  <si>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Proyecto se está cragando información en la plataforma Gesproy para pasar a estado TERMIANDO</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</si>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</sst>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dd/mm/yyyy"/>
  </numFmts>
  <fonts count="12"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0"/>
      <color theme="1"/>
      <name val="Roboto"/>
    </font>
    <font>
      <b/>
      <sz val="11"/>
      <color theme="1"/>
      <name val="Calibri"/>
      <family val="2"/>
      <scheme val="minor"/>
    </font>
    <font>
      <sz val="10"/>
      <name val="Roboto"/>
      <family val="2"/>
    </font>
    <font>
      <b/>
      <i/>
      <sz val="11"/>
      <color theme="1"/>
      <name val="Roboto"/>
    </font>
    <font>
      <b/>
      <sz val="10"/>
      <color theme="1"/>
      <name val="Roboto"/>
    </font>
    <font>
      <b/>
      <sz val="11"/>
      <name val="Calibri"/>
      <family val="2"/>
      <scheme val="minor"/>
    </font>
    <font>
      <sz val="11"/>
      <name val="Calibri"/>
      <family val="2"/>
      <scheme val="minor"/>
    </font>
    <font>
      <sz val="10"/>
      <color rgb="FFFF0000"/>
      <name val="Roboto"/>
    </font>
  </fonts>
  <fills count="13">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FFFF00"/>
        <bgColor indexed="64"/>
      </patternFill>
    </fill>
    <fill>
      <patternFill patternType="solid">
        <fgColor theme="5"/>
        <bgColor indexed="64"/>
      </patternFill>
    </fill>
    <fill>
      <patternFill patternType="solid">
        <fgColor theme="5" tint="0.79998168889431442"/>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6"/>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46">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3" fillId="6" borderId="1" xfId="0" applyFont="1" applyFill="1" applyBorder="1" applyAlignment="1">
      <alignment horizontal="center" vertical="center" wrapText="1"/>
    </xf>
    <xf numFmtId="164" fontId="4" fillId="0" borderId="1" xfId="0" applyNumberFormat="1" applyFont="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166" fontId="3" fillId="0" borderId="1" xfId="0" applyNumberFormat="1" applyFont="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14" fontId="0" fillId="0" borderId="1" xfId="0" applyNumberFormat="1" applyBorder="1" applyAlignment="1">
      <alignment horizontal="center" vertical="center"/>
    </xf>
    <xf numFmtId="1" fontId="3" fillId="8" borderId="1" xfId="0" applyNumberFormat="1" applyFont="1" applyFill="1" applyBorder="1" applyAlignment="1">
      <alignment horizontal="center" vertical="center" wrapText="1"/>
    </xf>
    <xf numFmtId="0" fontId="5" fillId="12" borderId="1" xfId="0" applyFont="1" applyFill="1" applyBorder="1" applyAlignment="1">
      <alignment horizontal="center" vertical="center" wrapText="1"/>
    </xf>
    <xf numFmtId="166" fontId="7" fillId="6" borderId="1" xfId="0" applyNumberFormat="1" applyFont="1" applyFill="1" applyBorder="1" applyAlignment="1">
      <alignment horizontal="center" vertical="center" wrapText="1"/>
    </xf>
    <xf numFmtId="166" fontId="8" fillId="6" borderId="1" xfId="0" applyNumberFormat="1" applyFont="1" applyFill="1" applyBorder="1" applyAlignment="1">
      <alignment horizontal="center" vertical="center" wrapText="1"/>
    </xf>
    <xf numFmtId="0" fontId="3" fillId="0" borderId="1" xfId="0" applyFont="1" applyBorder="1" applyAlignment="1">
      <alignment horizontal="left" vertical="center" wrapText="1"/>
    </xf>
    <xf numFmtId="0" fontId="9" fillId="0" borderId="4" xfId="0" applyFont="1" applyBorder="1" applyAlignment="1">
      <alignment horizontal="center" vertical="center" wrapText="1"/>
    </xf>
    <xf numFmtId="0" fontId="9" fillId="0" borderId="2" xfId="0" applyFont="1" applyBorder="1" applyAlignment="1">
      <alignment horizontal="center" vertical="center" wrapText="1"/>
    </xf>
    <xf numFmtId="0" fontId="9" fillId="0" borderId="8"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3" fillId="0" borderId="1" xfId="0" quotePrefix="1"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3" fillId="0" borderId="6" xfId="0" applyFont="1" applyBorder="1" applyAlignment="1">
      <alignment horizontal="center" vertical="center" wrapText="1"/>
    </xf>
    <xf numFmtId="0" fontId="1" fillId="2" borderId="0" xfId="0" applyFont="1" applyFill="1" applyAlignment="1">
      <alignment horizontal="center" vertical="center" wrapText="1"/>
    </xf>
    <xf numFmtId="0" fontId="3" fillId="0" borderId="2" xfId="0" applyFont="1" applyBorder="1" applyAlignment="1">
      <alignment horizontal="center" vertical="center" wrapText="1"/>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10" fillId="6" borderId="7"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44">
    <dxf>
      <font>
        <b val="0"/>
        <i val="0"/>
        <strike val="0"/>
        <condense val="0"/>
        <extend val="0"/>
        <outline val="0"/>
        <shadow val="0"/>
        <u val="none"/>
        <vertAlign val="baseline"/>
        <sz val="10"/>
        <color theme="1"/>
        <name val="Roboto"/>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border outline="0">
        <bottom style="thin">
          <color auto="1"/>
        </bottom>
      </border>
    </dxf>
    <dxf>
      <font>
        <b val="0"/>
        <i val="0"/>
        <strike val="0"/>
        <condense val="0"/>
        <extend val="0"/>
        <outline val="0"/>
        <shadow val="0"/>
        <u val="none"/>
        <vertAlign val="baseline"/>
        <sz val="10"/>
        <color theme="1"/>
        <name val="Roboto"/>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4" formatCode="#,##0.000"/>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font>
        <b val="0"/>
        <i val="0"/>
        <strike val="0"/>
        <condense val="0"/>
        <extend val="0"/>
        <outline val="0"/>
        <shadow val="0"/>
        <u val="none"/>
        <vertAlign val="baseline"/>
        <sz val="10"/>
        <color theme="1"/>
        <name val="Roboto"/>
        <family val="2"/>
        <scheme val="none"/>
      </font>
      <numFmt numFmtId="19" formatCode="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6"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d/mm/yyyy"/>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font>
        <b val="0"/>
        <i val="0"/>
        <strike val="0"/>
        <condense val="0"/>
        <extend val="0"/>
        <outline val="0"/>
        <shadow val="0"/>
        <u val="none"/>
        <vertAlign val="baseline"/>
        <sz val="10"/>
        <color theme="1"/>
        <name val="Roboto"/>
        <family val="2"/>
        <scheme val="none"/>
      </font>
      <numFmt numFmtId="0" formatCode="General"/>
      <alignment horizontal="center" vertical="center" textRotation="0" wrapText="1" indent="0" justifyLastLine="0" shrinkToFit="0" readingOrder="0"/>
      <border diagonalUp="0" diagonalDown="0" outline="0">
        <left style="thin">
          <color auto="1"/>
        </left>
        <right style="thin">
          <color auto="1"/>
        </right>
        <top style="thin">
          <color auto="1"/>
        </top>
        <bottom style="thin">
          <color auto="1"/>
        </bottom>
      </border>
    </dxf>
    <dxf>
      <border outline="0">
        <right style="thin">
          <color auto="1"/>
        </right>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zgama\Downloads\Resultados%20IGPR%20-%20I%20trimestre%202026%2015052026.xlsx" TargetMode="External"/><Relationship Id="rId1" Type="http://schemas.openxmlformats.org/officeDocument/2006/relationships/externalLinkPath" Target="file:///C:\Users\zgama\Downloads\Resultados%20IGPR%20-%20I%20trimestre%202026%201505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ntidad"/>
      <sheetName val="Proyectos"/>
      <sheetName val="Hoja1"/>
      <sheetName val="Proyectos_consolidado"/>
    </sheetNames>
    <sheetDataSet>
      <sheetData sheetId="0"/>
      <sheetData sheetId="1">
        <row r="589">
          <cell r="B589">
            <v>2024002700174</v>
          </cell>
          <cell r="BP589">
            <v>100</v>
          </cell>
        </row>
        <row r="590">
          <cell r="B590">
            <v>2025002700019</v>
          </cell>
          <cell r="BP590">
            <v>100</v>
          </cell>
        </row>
        <row r="591">
          <cell r="B591">
            <v>2025002700021</v>
          </cell>
          <cell r="BP591">
            <v>100</v>
          </cell>
        </row>
        <row r="592">
          <cell r="B592">
            <v>2025002700033</v>
          </cell>
          <cell r="BP592">
            <v>100</v>
          </cell>
        </row>
        <row r="593">
          <cell r="B593">
            <v>2025002700035</v>
          </cell>
          <cell r="BP593">
            <v>100</v>
          </cell>
        </row>
        <row r="594">
          <cell r="B594">
            <v>2026002700001</v>
          </cell>
          <cell r="BP594">
            <v>100</v>
          </cell>
        </row>
        <row r="595">
          <cell r="B595">
            <v>2025002700037</v>
          </cell>
          <cell r="BP595">
            <v>100</v>
          </cell>
        </row>
        <row r="596">
          <cell r="B596">
            <v>2025707710008</v>
          </cell>
          <cell r="BP596">
            <v>100</v>
          </cell>
        </row>
        <row r="597">
          <cell r="B597">
            <v>2025730300002</v>
          </cell>
          <cell r="BP597">
            <v>100</v>
          </cell>
        </row>
        <row r="598">
          <cell r="B598">
            <v>2025730550001</v>
          </cell>
          <cell r="BP598">
            <v>100</v>
          </cell>
        </row>
        <row r="599">
          <cell r="B599">
            <v>2025730550002</v>
          </cell>
          <cell r="BP599">
            <v>100</v>
          </cell>
        </row>
        <row r="600">
          <cell r="B600">
            <v>20251301010086</v>
          </cell>
          <cell r="BP600">
            <v>100</v>
          </cell>
        </row>
        <row r="601">
          <cell r="B601">
            <v>2025731480003</v>
          </cell>
          <cell r="BP601">
            <v>100</v>
          </cell>
        </row>
        <row r="602">
          <cell r="B602">
            <v>2025731520002</v>
          </cell>
          <cell r="BP602">
            <v>100</v>
          </cell>
        </row>
        <row r="603">
          <cell r="B603">
            <v>20241301010258</v>
          </cell>
          <cell r="BP603">
            <v>100</v>
          </cell>
        </row>
        <row r="604">
          <cell r="B604">
            <v>2025731680004</v>
          </cell>
          <cell r="BP604">
            <v>100</v>
          </cell>
        </row>
        <row r="605">
          <cell r="B605">
            <v>2025731680005</v>
          </cell>
          <cell r="BP605">
            <v>100</v>
          </cell>
        </row>
        <row r="606">
          <cell r="B606">
            <v>2025732260002</v>
          </cell>
          <cell r="BP606">
            <v>100</v>
          </cell>
        </row>
        <row r="607">
          <cell r="B607">
            <v>2025732680001</v>
          </cell>
          <cell r="BP607">
            <v>100</v>
          </cell>
        </row>
        <row r="608">
          <cell r="B608">
            <v>2025732700001</v>
          </cell>
          <cell r="BP608">
            <v>100</v>
          </cell>
        </row>
        <row r="609">
          <cell r="B609">
            <v>2025733490001</v>
          </cell>
          <cell r="BP609">
            <v>0</v>
          </cell>
        </row>
        <row r="610">
          <cell r="B610">
            <v>2025733490003</v>
          </cell>
          <cell r="BP610">
            <v>0</v>
          </cell>
        </row>
        <row r="611">
          <cell r="B611">
            <v>2025734080001</v>
          </cell>
          <cell r="BP611">
            <v>100</v>
          </cell>
        </row>
        <row r="612">
          <cell r="B612">
            <v>2025734110008</v>
          </cell>
          <cell r="BP612">
            <v>100</v>
          </cell>
        </row>
        <row r="613">
          <cell r="B613">
            <v>2025734490002</v>
          </cell>
          <cell r="BP613">
            <v>100</v>
          </cell>
        </row>
        <row r="614">
          <cell r="B614">
            <v>2025734610005</v>
          </cell>
          <cell r="BP614">
            <v>100</v>
          </cell>
        </row>
        <row r="615">
          <cell r="B615" t="str">
            <v>2025M007330002</v>
          </cell>
          <cell r="BP615">
            <v>100</v>
          </cell>
        </row>
        <row r="616">
          <cell r="B616">
            <v>2025735040006</v>
          </cell>
          <cell r="BP616">
            <v>100</v>
          </cell>
        </row>
        <row r="617">
          <cell r="B617">
            <v>2026735040001</v>
          </cell>
          <cell r="BP617">
            <v>100</v>
          </cell>
        </row>
        <row r="618">
          <cell r="B618">
            <v>2026735470004</v>
          </cell>
          <cell r="BP618">
            <v>0</v>
          </cell>
        </row>
        <row r="619">
          <cell r="B619">
            <v>2026735630002</v>
          </cell>
          <cell r="BP619">
            <v>100</v>
          </cell>
        </row>
        <row r="620">
          <cell r="B620">
            <v>2025735850002</v>
          </cell>
          <cell r="BP620">
            <v>89</v>
          </cell>
        </row>
        <row r="621">
          <cell r="B621">
            <v>20251301010243</v>
          </cell>
          <cell r="BP621">
            <v>89</v>
          </cell>
        </row>
        <row r="622">
          <cell r="B622">
            <v>2024736220024</v>
          </cell>
          <cell r="BP622">
            <v>0</v>
          </cell>
        </row>
        <row r="623">
          <cell r="B623">
            <v>2025736780001</v>
          </cell>
          <cell r="BP623">
            <v>100</v>
          </cell>
        </row>
        <row r="624">
          <cell r="B624">
            <v>2026736860002</v>
          </cell>
          <cell r="BP624">
            <v>100</v>
          </cell>
        </row>
        <row r="625">
          <cell r="B625">
            <v>2026736860003</v>
          </cell>
          <cell r="BP625">
            <v>100</v>
          </cell>
        </row>
        <row r="626">
          <cell r="B626">
            <v>2026736860004</v>
          </cell>
          <cell r="BP626">
            <v>100</v>
          </cell>
        </row>
        <row r="627">
          <cell r="B627">
            <v>2026737700001</v>
          </cell>
          <cell r="BP627">
            <v>100</v>
          </cell>
        </row>
        <row r="628">
          <cell r="B628">
            <v>2025004730012</v>
          </cell>
          <cell r="BP628">
            <v>100</v>
          </cell>
        </row>
        <row r="629">
          <cell r="B629" t="str">
            <v>2024M004690001</v>
          </cell>
          <cell r="BP629">
            <v>100</v>
          </cell>
        </row>
        <row r="630">
          <cell r="B630">
            <v>2025000060018</v>
          </cell>
          <cell r="BP630">
            <v>100</v>
          </cell>
        </row>
        <row r="631">
          <cell r="B631">
            <v>2025004730004</v>
          </cell>
          <cell r="BP631">
            <v>100</v>
          </cell>
        </row>
        <row r="632">
          <cell r="B632">
            <v>2025004730008</v>
          </cell>
          <cell r="BP632">
            <v>100</v>
          </cell>
        </row>
        <row r="633">
          <cell r="B633">
            <v>2025004730014</v>
          </cell>
          <cell r="BP633">
            <v>100</v>
          </cell>
        </row>
        <row r="634">
          <cell r="B634">
            <v>2024000060018</v>
          </cell>
          <cell r="BP634">
            <v>100</v>
          </cell>
        </row>
        <row r="635">
          <cell r="B635">
            <v>2024000100136</v>
          </cell>
          <cell r="BP635">
            <v>100</v>
          </cell>
        </row>
        <row r="636">
          <cell r="B636">
            <v>2025738610007</v>
          </cell>
          <cell r="BP636">
            <v>100</v>
          </cell>
        </row>
        <row r="637">
          <cell r="B637">
            <v>2026738700001</v>
          </cell>
          <cell r="BP637">
            <v>100</v>
          </cell>
        </row>
        <row r="638">
          <cell r="B638">
            <v>2025761090005</v>
          </cell>
          <cell r="BP638">
            <v>100</v>
          </cell>
        </row>
        <row r="639">
          <cell r="B639">
            <v>2025761130002</v>
          </cell>
          <cell r="BP639">
            <v>100</v>
          </cell>
        </row>
        <row r="640">
          <cell r="B640">
            <v>2026762460001</v>
          </cell>
          <cell r="BP640">
            <v>100</v>
          </cell>
        </row>
        <row r="641">
          <cell r="B641">
            <v>2025766700001</v>
          </cell>
          <cell r="BP641">
            <v>100</v>
          </cell>
        </row>
        <row r="642">
          <cell r="B642">
            <v>2025768450001</v>
          </cell>
          <cell r="BP642">
            <v>0</v>
          </cell>
        </row>
        <row r="643">
          <cell r="B643">
            <v>2025000030028</v>
          </cell>
          <cell r="BP643">
            <v>100</v>
          </cell>
        </row>
        <row r="644">
          <cell r="B644">
            <v>2025003760007</v>
          </cell>
          <cell r="BP644">
            <v>100</v>
          </cell>
        </row>
        <row r="645">
          <cell r="B645">
            <v>2025003760010</v>
          </cell>
          <cell r="BP645">
            <v>100</v>
          </cell>
        </row>
        <row r="646">
          <cell r="B646">
            <v>2025000030038</v>
          </cell>
          <cell r="BP646">
            <v>89</v>
          </cell>
        </row>
        <row r="647">
          <cell r="B647">
            <v>2023768900061</v>
          </cell>
          <cell r="BP647">
            <v>0</v>
          </cell>
        </row>
        <row r="648">
          <cell r="B648">
            <v>2025971610001</v>
          </cell>
          <cell r="BP648">
            <v>0</v>
          </cell>
        </row>
        <row r="649">
          <cell r="B649">
            <v>2025970010002</v>
          </cell>
          <cell r="BP649">
            <v>100</v>
          </cell>
        </row>
        <row r="650">
          <cell r="B650">
            <v>2025005970012</v>
          </cell>
          <cell r="BP650">
            <v>100</v>
          </cell>
        </row>
        <row r="651">
          <cell r="B651">
            <v>2026005990003</v>
          </cell>
          <cell r="BP651">
            <v>100</v>
          </cell>
        </row>
        <row r="652">
          <cell r="B652">
            <v>2026005990002</v>
          </cell>
          <cell r="BP652">
            <v>100</v>
          </cell>
        </row>
        <row r="653">
          <cell r="B653">
            <v>2023006910034</v>
          </cell>
          <cell r="BP653">
            <v>98.4</v>
          </cell>
        </row>
        <row r="654">
          <cell r="B654">
            <v>2013000100239</v>
          </cell>
          <cell r="BP654">
            <v>50</v>
          </cell>
        </row>
        <row r="655">
          <cell r="B655">
            <v>2015000100072</v>
          </cell>
          <cell r="BP655">
            <v>100</v>
          </cell>
        </row>
        <row r="656">
          <cell r="B656">
            <v>2016000060020</v>
          </cell>
          <cell r="BP656">
            <v>12</v>
          </cell>
        </row>
        <row r="657">
          <cell r="B657">
            <v>2017000060007</v>
          </cell>
          <cell r="BP657">
            <v>30.5</v>
          </cell>
        </row>
        <row r="658">
          <cell r="B658">
            <v>2018000100183</v>
          </cell>
          <cell r="BP658">
            <v>0</v>
          </cell>
        </row>
        <row r="659">
          <cell r="B659">
            <v>2020000060021</v>
          </cell>
          <cell r="BP659">
            <v>0</v>
          </cell>
        </row>
        <row r="660">
          <cell r="B660">
            <v>2021000060010</v>
          </cell>
          <cell r="BP660">
            <v>100</v>
          </cell>
        </row>
        <row r="661">
          <cell r="B661">
            <v>2021006910091</v>
          </cell>
          <cell r="BP661">
            <v>30.6</v>
          </cell>
        </row>
        <row r="662">
          <cell r="B662">
            <v>2021006910097</v>
          </cell>
          <cell r="BP662">
            <v>28.9</v>
          </cell>
        </row>
        <row r="663">
          <cell r="B663">
            <v>2022006910116</v>
          </cell>
          <cell r="BP663">
            <v>0</v>
          </cell>
        </row>
        <row r="664">
          <cell r="B664">
            <v>2024006910148</v>
          </cell>
          <cell r="BP664">
            <v>45.6</v>
          </cell>
        </row>
        <row r="665">
          <cell r="B665">
            <v>2025006910006</v>
          </cell>
          <cell r="BP665">
            <v>61.9</v>
          </cell>
        </row>
        <row r="666">
          <cell r="B666">
            <v>2024006910164</v>
          </cell>
          <cell r="BP666">
            <v>100</v>
          </cell>
        </row>
        <row r="667">
          <cell r="B667">
            <v>2025006910005</v>
          </cell>
          <cell r="BP667">
            <v>100</v>
          </cell>
        </row>
        <row r="668">
          <cell r="B668">
            <v>2025006910003</v>
          </cell>
          <cell r="BP668">
            <v>49.6</v>
          </cell>
        </row>
        <row r="669">
          <cell r="B669">
            <v>2025006910004</v>
          </cell>
          <cell r="BP669">
            <v>100</v>
          </cell>
        </row>
        <row r="670">
          <cell r="B670">
            <v>2025006910008</v>
          </cell>
          <cell r="BP670">
            <v>100</v>
          </cell>
        </row>
        <row r="671">
          <cell r="B671">
            <v>2023000100019</v>
          </cell>
          <cell r="BP671">
            <v>100</v>
          </cell>
        </row>
        <row r="672">
          <cell r="B672">
            <v>2018000060060</v>
          </cell>
          <cell r="BP672">
            <v>50</v>
          </cell>
        </row>
        <row r="673">
          <cell r="B673">
            <v>20181301010695</v>
          </cell>
          <cell r="BP673">
            <v>21</v>
          </cell>
        </row>
        <row r="674">
          <cell r="B674">
            <v>2021000100226</v>
          </cell>
          <cell r="BP674">
            <v>60</v>
          </cell>
        </row>
        <row r="675">
          <cell r="B675">
            <v>2024000100031</v>
          </cell>
          <cell r="BP675">
            <v>100</v>
          </cell>
        </row>
        <row r="676">
          <cell r="B676">
            <v>2020000100431</v>
          </cell>
          <cell r="BP676">
            <v>50</v>
          </cell>
        </row>
        <row r="677">
          <cell r="B677">
            <v>2021000100111</v>
          </cell>
          <cell r="BP677">
            <v>100</v>
          </cell>
        </row>
        <row r="678">
          <cell r="B678" t="str">
            <v>2024I00010097</v>
          </cell>
          <cell r="BP678">
            <v>89</v>
          </cell>
        </row>
        <row r="679">
          <cell r="B679">
            <v>2023910010018</v>
          </cell>
          <cell r="BP679">
            <v>100</v>
          </cell>
        </row>
        <row r="680">
          <cell r="B680">
            <v>2025910010006</v>
          </cell>
          <cell r="BP680">
            <v>60</v>
          </cell>
        </row>
        <row r="681">
          <cell r="B681">
            <v>2025910010007</v>
          </cell>
          <cell r="BP681">
            <v>100</v>
          </cell>
        </row>
        <row r="682">
          <cell r="B682">
            <v>2019910010005</v>
          </cell>
          <cell r="BP682">
            <v>42</v>
          </cell>
        </row>
        <row r="683">
          <cell r="B683">
            <v>2023910010022</v>
          </cell>
          <cell r="BP683">
            <v>30</v>
          </cell>
        </row>
        <row r="684">
          <cell r="B684">
            <v>2025910010003</v>
          </cell>
          <cell r="BP684">
            <v>89</v>
          </cell>
        </row>
        <row r="685">
          <cell r="B685">
            <v>2025915400002</v>
          </cell>
          <cell r="BP685">
            <v>68.8</v>
          </cell>
        </row>
        <row r="686">
          <cell r="B686">
            <v>2026915400001</v>
          </cell>
          <cell r="BP686">
            <v>60</v>
          </cell>
        </row>
        <row r="687">
          <cell r="B687">
            <v>2023915400004</v>
          </cell>
          <cell r="BP687">
            <v>15</v>
          </cell>
        </row>
        <row r="688">
          <cell r="B688">
            <v>2024915400041</v>
          </cell>
          <cell r="BP688">
            <v>62.4</v>
          </cell>
        </row>
        <row r="689">
          <cell r="B689">
            <v>2026050020001</v>
          </cell>
          <cell r="BP689">
            <v>100</v>
          </cell>
        </row>
        <row r="690">
          <cell r="B690">
            <v>2025050210003</v>
          </cell>
          <cell r="BP690">
            <v>71.599999999999994</v>
          </cell>
        </row>
        <row r="691">
          <cell r="B691">
            <v>2026050210001</v>
          </cell>
          <cell r="BP691">
            <v>100</v>
          </cell>
        </row>
        <row r="692">
          <cell r="B692">
            <v>2025050210004</v>
          </cell>
          <cell r="BP692">
            <v>100</v>
          </cell>
        </row>
        <row r="693">
          <cell r="B693">
            <v>2024050300025</v>
          </cell>
          <cell r="BP693">
            <v>44.4</v>
          </cell>
        </row>
        <row r="694">
          <cell r="B694">
            <v>2025050300001</v>
          </cell>
          <cell r="BP694">
            <v>100</v>
          </cell>
        </row>
        <row r="695">
          <cell r="B695">
            <v>2025050310001</v>
          </cell>
          <cell r="BP695">
            <v>0</v>
          </cell>
        </row>
        <row r="696">
          <cell r="B696">
            <v>2025050340003</v>
          </cell>
          <cell r="BP696">
            <v>29</v>
          </cell>
        </row>
        <row r="697">
          <cell r="B697">
            <v>2025050340004</v>
          </cell>
          <cell r="BP697">
            <v>40</v>
          </cell>
        </row>
        <row r="698">
          <cell r="B698">
            <v>2022050340008</v>
          </cell>
          <cell r="BP698">
            <v>80.099999999999994</v>
          </cell>
        </row>
        <row r="699">
          <cell r="B699">
            <v>2023050340035</v>
          </cell>
          <cell r="BP699">
            <v>71.2</v>
          </cell>
        </row>
        <row r="700">
          <cell r="B700">
            <v>2023050340022</v>
          </cell>
          <cell r="BP700">
            <v>78.099999999999994</v>
          </cell>
        </row>
        <row r="701">
          <cell r="B701">
            <v>2025050360001</v>
          </cell>
          <cell r="BP701">
            <v>10</v>
          </cell>
        </row>
        <row r="702">
          <cell r="B702">
            <v>2025050360003</v>
          </cell>
          <cell r="BP702">
            <v>96</v>
          </cell>
        </row>
        <row r="703">
          <cell r="B703">
            <v>2024050400039</v>
          </cell>
          <cell r="BP703">
            <v>0</v>
          </cell>
        </row>
        <row r="704">
          <cell r="B704">
            <v>2024050400045</v>
          </cell>
          <cell r="BP704">
            <v>22</v>
          </cell>
        </row>
        <row r="705">
          <cell r="B705">
            <v>20251301010027</v>
          </cell>
          <cell r="BP705">
            <v>100</v>
          </cell>
        </row>
        <row r="706">
          <cell r="B706">
            <v>2024050400043</v>
          </cell>
          <cell r="BP706">
            <v>20</v>
          </cell>
        </row>
        <row r="707">
          <cell r="B707">
            <v>2013000040058</v>
          </cell>
          <cell r="BP707">
            <v>0</v>
          </cell>
        </row>
        <row r="708">
          <cell r="B708">
            <v>2015000040021</v>
          </cell>
          <cell r="BP708">
            <v>0</v>
          </cell>
        </row>
        <row r="709">
          <cell r="B709">
            <v>2024003050241</v>
          </cell>
          <cell r="BP709">
            <v>0</v>
          </cell>
        </row>
        <row r="710">
          <cell r="B710">
            <v>2024057560039</v>
          </cell>
          <cell r="BP710">
            <v>33.5</v>
          </cell>
        </row>
        <row r="711">
          <cell r="B711">
            <v>2025003050034</v>
          </cell>
          <cell r="BP711">
            <v>0</v>
          </cell>
        </row>
        <row r="712">
          <cell r="B712">
            <v>2013000040056</v>
          </cell>
          <cell r="BP712">
            <v>0</v>
          </cell>
        </row>
        <row r="713">
          <cell r="B713">
            <v>2025003050011</v>
          </cell>
          <cell r="BP713">
            <v>50</v>
          </cell>
        </row>
        <row r="714">
          <cell r="B714">
            <v>2025003050031</v>
          </cell>
          <cell r="BP714">
            <v>96</v>
          </cell>
        </row>
        <row r="715">
          <cell r="B715">
            <v>2022053680001</v>
          </cell>
          <cell r="BP715">
            <v>0</v>
          </cell>
        </row>
        <row r="716">
          <cell r="B716">
            <v>2019000040080</v>
          </cell>
          <cell r="BP716">
            <v>90</v>
          </cell>
        </row>
        <row r="717">
          <cell r="B717">
            <v>2020000100182</v>
          </cell>
          <cell r="BP717">
            <v>24.3</v>
          </cell>
        </row>
        <row r="718">
          <cell r="B718">
            <v>2021000100277</v>
          </cell>
          <cell r="BP718">
            <v>0</v>
          </cell>
        </row>
        <row r="719">
          <cell r="B719">
            <v>2020000100201</v>
          </cell>
          <cell r="BP719">
            <v>0</v>
          </cell>
        </row>
        <row r="720">
          <cell r="B720">
            <v>2021000100451</v>
          </cell>
          <cell r="BP720">
            <v>0</v>
          </cell>
        </row>
        <row r="721">
          <cell r="B721">
            <v>2012000100181</v>
          </cell>
          <cell r="BP721">
            <v>42</v>
          </cell>
        </row>
        <row r="722">
          <cell r="B722">
            <v>2016000100058</v>
          </cell>
          <cell r="BP722">
            <v>22</v>
          </cell>
        </row>
        <row r="723">
          <cell r="B723">
            <v>2019000040024</v>
          </cell>
          <cell r="BP723">
            <v>3.5</v>
          </cell>
        </row>
        <row r="724">
          <cell r="B724">
            <v>2020000040033</v>
          </cell>
          <cell r="BP724">
            <v>11</v>
          </cell>
        </row>
        <row r="725">
          <cell r="B725">
            <v>2021000040027</v>
          </cell>
          <cell r="BP725">
            <v>90.4</v>
          </cell>
        </row>
        <row r="726">
          <cell r="B726">
            <v>2021003050037</v>
          </cell>
          <cell r="BP726">
            <v>45</v>
          </cell>
        </row>
        <row r="727">
          <cell r="B727">
            <v>2021003050105</v>
          </cell>
          <cell r="BP727">
            <v>73.2</v>
          </cell>
        </row>
        <row r="728">
          <cell r="B728">
            <v>2022003050088</v>
          </cell>
          <cell r="BP728">
            <v>60</v>
          </cell>
        </row>
        <row r="729">
          <cell r="B729">
            <v>2022003050092</v>
          </cell>
          <cell r="BP729">
            <v>95.6</v>
          </cell>
        </row>
        <row r="730">
          <cell r="B730">
            <v>2023000040001</v>
          </cell>
          <cell r="BP730">
            <v>100</v>
          </cell>
        </row>
        <row r="731">
          <cell r="B731">
            <v>2023003050003</v>
          </cell>
          <cell r="BP731">
            <v>50</v>
          </cell>
        </row>
        <row r="732">
          <cell r="B732">
            <v>2023003050084</v>
          </cell>
          <cell r="BP732">
            <v>76</v>
          </cell>
        </row>
        <row r="733">
          <cell r="B733">
            <v>2025003050002</v>
          </cell>
          <cell r="BP733">
            <v>100</v>
          </cell>
        </row>
        <row r="734">
          <cell r="B734">
            <v>2025003050018</v>
          </cell>
          <cell r="BP734">
            <v>0</v>
          </cell>
        </row>
        <row r="735">
          <cell r="B735">
            <v>2025003050025</v>
          </cell>
          <cell r="BP735">
            <v>100</v>
          </cell>
        </row>
        <row r="736">
          <cell r="B736">
            <v>2025003050012</v>
          </cell>
          <cell r="BP736">
            <v>100</v>
          </cell>
        </row>
        <row r="737">
          <cell r="B737">
            <v>2025003050046</v>
          </cell>
          <cell r="BP737">
            <v>100</v>
          </cell>
        </row>
        <row r="738">
          <cell r="B738">
            <v>2025003050056</v>
          </cell>
          <cell r="BP738">
            <v>100</v>
          </cell>
        </row>
        <row r="739">
          <cell r="B739">
            <v>2025003050022</v>
          </cell>
          <cell r="BP739">
            <v>100</v>
          </cell>
        </row>
        <row r="740">
          <cell r="B740">
            <v>2024003050244</v>
          </cell>
          <cell r="BP740">
            <v>0</v>
          </cell>
        </row>
        <row r="741">
          <cell r="B741">
            <v>2024003050245</v>
          </cell>
          <cell r="BP741">
            <v>66.400000000000006</v>
          </cell>
        </row>
        <row r="742">
          <cell r="B742">
            <v>2025003050017</v>
          </cell>
          <cell r="BP742">
            <v>10</v>
          </cell>
        </row>
        <row r="743">
          <cell r="B743">
            <v>2025003050026</v>
          </cell>
          <cell r="BP743">
            <v>100</v>
          </cell>
        </row>
        <row r="744">
          <cell r="B744">
            <v>2025003050020</v>
          </cell>
          <cell r="BP744">
            <v>84.8</v>
          </cell>
        </row>
        <row r="745">
          <cell r="B745">
            <v>2024003050237</v>
          </cell>
          <cell r="BP745">
            <v>50</v>
          </cell>
        </row>
        <row r="746">
          <cell r="B746">
            <v>2025003050003</v>
          </cell>
          <cell r="BP746">
            <v>82</v>
          </cell>
        </row>
        <row r="747">
          <cell r="B747">
            <v>2025003050013</v>
          </cell>
          <cell r="BP747">
            <v>58.7</v>
          </cell>
        </row>
        <row r="748">
          <cell r="B748">
            <v>2025003050038</v>
          </cell>
          <cell r="BP748">
            <v>0</v>
          </cell>
        </row>
        <row r="749">
          <cell r="B749">
            <v>2023003050009</v>
          </cell>
          <cell r="BP749">
            <v>0</v>
          </cell>
        </row>
        <row r="750">
          <cell r="B750">
            <v>2025003050037</v>
          </cell>
          <cell r="BP750">
            <v>100</v>
          </cell>
        </row>
        <row r="751">
          <cell r="B751">
            <v>2025003050005</v>
          </cell>
          <cell r="BP751">
            <v>90</v>
          </cell>
        </row>
        <row r="752">
          <cell r="B752">
            <v>2025003050044</v>
          </cell>
          <cell r="BP752">
            <v>100</v>
          </cell>
        </row>
        <row r="753">
          <cell r="B753">
            <v>2024003050236</v>
          </cell>
          <cell r="BP753">
            <v>90</v>
          </cell>
        </row>
        <row r="754">
          <cell r="B754">
            <v>2021050450078</v>
          </cell>
          <cell r="BP754">
            <v>77.599999999999994</v>
          </cell>
        </row>
        <row r="755">
          <cell r="B755">
            <v>2022050450076</v>
          </cell>
          <cell r="BP755">
            <v>84.8</v>
          </cell>
        </row>
        <row r="756">
          <cell r="B756">
            <v>2023003050020</v>
          </cell>
          <cell r="BP756">
            <v>90</v>
          </cell>
        </row>
        <row r="757">
          <cell r="B757">
            <v>2021000100029</v>
          </cell>
          <cell r="BP757">
            <v>69</v>
          </cell>
        </row>
        <row r="758">
          <cell r="B758">
            <v>2020000100192</v>
          </cell>
          <cell r="BP758">
            <v>92</v>
          </cell>
        </row>
        <row r="759">
          <cell r="B759">
            <v>2020000100413</v>
          </cell>
          <cell r="BP759">
            <v>97.2</v>
          </cell>
        </row>
        <row r="760">
          <cell r="B760">
            <v>2023000100074</v>
          </cell>
          <cell r="BP760">
            <v>84</v>
          </cell>
        </row>
        <row r="761">
          <cell r="B761">
            <v>2025003050021</v>
          </cell>
          <cell r="BP761">
            <v>93.2</v>
          </cell>
        </row>
        <row r="762">
          <cell r="B762">
            <v>2022003050050</v>
          </cell>
          <cell r="BP762">
            <v>0</v>
          </cell>
        </row>
        <row r="763">
          <cell r="B763">
            <v>2023003050006</v>
          </cell>
          <cell r="BP763">
            <v>50</v>
          </cell>
        </row>
        <row r="764">
          <cell r="B764">
            <v>20241301010236</v>
          </cell>
          <cell r="BP764">
            <v>0</v>
          </cell>
        </row>
        <row r="765">
          <cell r="B765">
            <v>2021003050089</v>
          </cell>
          <cell r="BP765">
            <v>90</v>
          </cell>
        </row>
        <row r="766">
          <cell r="B766">
            <v>2025003050060</v>
          </cell>
          <cell r="BP766">
            <v>60</v>
          </cell>
        </row>
        <row r="767">
          <cell r="B767">
            <v>2022003050051</v>
          </cell>
          <cell r="BP767">
            <v>17.399999999999999</v>
          </cell>
        </row>
        <row r="768">
          <cell r="B768">
            <v>2024003050246</v>
          </cell>
          <cell r="BP768">
            <v>50</v>
          </cell>
        </row>
        <row r="769">
          <cell r="B769">
            <v>2023003050019</v>
          </cell>
          <cell r="BP769">
            <v>0</v>
          </cell>
        </row>
        <row r="770">
          <cell r="B770">
            <v>2025003050010</v>
          </cell>
          <cell r="BP770">
            <v>35.6</v>
          </cell>
        </row>
        <row r="771">
          <cell r="B771">
            <v>2025003050047</v>
          </cell>
          <cell r="BP771">
            <v>100</v>
          </cell>
        </row>
        <row r="772">
          <cell r="B772">
            <v>2025003050049</v>
          </cell>
          <cell r="BP772">
            <v>40</v>
          </cell>
        </row>
        <row r="773">
          <cell r="B773">
            <v>2025003050050</v>
          </cell>
          <cell r="BP773">
            <v>40</v>
          </cell>
        </row>
        <row r="774">
          <cell r="B774">
            <v>2025003050051</v>
          </cell>
          <cell r="BP774">
            <v>40</v>
          </cell>
        </row>
        <row r="775">
          <cell r="B775">
            <v>2025003050053</v>
          </cell>
          <cell r="BP775">
            <v>40</v>
          </cell>
        </row>
        <row r="776">
          <cell r="B776">
            <v>2025003050028</v>
          </cell>
          <cell r="BP776">
            <v>100</v>
          </cell>
        </row>
        <row r="777">
          <cell r="B777">
            <v>2025003050023</v>
          </cell>
          <cell r="BP777">
            <v>100</v>
          </cell>
        </row>
        <row r="778">
          <cell r="B778">
            <v>2025003050032</v>
          </cell>
          <cell r="BP778">
            <v>100</v>
          </cell>
        </row>
        <row r="779">
          <cell r="B779">
            <v>2025003050059</v>
          </cell>
          <cell r="BP779">
            <v>100</v>
          </cell>
        </row>
        <row r="780">
          <cell r="B780">
            <v>2019000100016</v>
          </cell>
          <cell r="BP780">
            <v>0</v>
          </cell>
        </row>
        <row r="781">
          <cell r="B781">
            <v>2019000100017</v>
          </cell>
          <cell r="BP781">
            <v>100</v>
          </cell>
        </row>
        <row r="782">
          <cell r="B782">
            <v>2020000100059</v>
          </cell>
          <cell r="BP782">
            <v>30.8</v>
          </cell>
        </row>
        <row r="783">
          <cell r="B783">
            <v>2020000100304</v>
          </cell>
          <cell r="BP783">
            <v>100</v>
          </cell>
        </row>
        <row r="784">
          <cell r="B784">
            <v>2020000100391</v>
          </cell>
          <cell r="BP784">
            <v>93.6</v>
          </cell>
        </row>
        <row r="785">
          <cell r="B785">
            <v>2020000100437</v>
          </cell>
          <cell r="BP785">
            <v>100</v>
          </cell>
        </row>
        <row r="786">
          <cell r="B786">
            <v>2020000100488</v>
          </cell>
          <cell r="BP786">
            <v>100</v>
          </cell>
        </row>
        <row r="787">
          <cell r="B787">
            <v>2020000100495</v>
          </cell>
          <cell r="BP787">
            <v>14.5</v>
          </cell>
        </row>
        <row r="788">
          <cell r="B788">
            <v>2020000100497</v>
          </cell>
          <cell r="BP788">
            <v>100</v>
          </cell>
        </row>
        <row r="789">
          <cell r="B789">
            <v>2021000100098</v>
          </cell>
          <cell r="BP789">
            <v>100</v>
          </cell>
        </row>
        <row r="790">
          <cell r="B790">
            <v>2021000100311</v>
          </cell>
          <cell r="BP790">
            <v>30</v>
          </cell>
        </row>
        <row r="791">
          <cell r="B791">
            <v>2022000100012</v>
          </cell>
          <cell r="BP791">
            <v>95.6</v>
          </cell>
        </row>
        <row r="792">
          <cell r="B792">
            <v>2023000100025</v>
          </cell>
          <cell r="BP792">
            <v>100</v>
          </cell>
        </row>
        <row r="793">
          <cell r="B793">
            <v>2022000100055</v>
          </cell>
          <cell r="BP793">
            <v>100</v>
          </cell>
        </row>
        <row r="794">
          <cell r="B794">
            <v>2020000100601</v>
          </cell>
          <cell r="BP794">
            <v>100</v>
          </cell>
        </row>
        <row r="795">
          <cell r="B795">
            <v>2024000100086</v>
          </cell>
          <cell r="BP795">
            <v>100</v>
          </cell>
        </row>
        <row r="796">
          <cell r="B796">
            <v>2020000100077</v>
          </cell>
          <cell r="BP796">
            <v>100</v>
          </cell>
        </row>
        <row r="797">
          <cell r="B797">
            <v>2020000100069</v>
          </cell>
          <cell r="BP797">
            <v>100</v>
          </cell>
        </row>
        <row r="798">
          <cell r="B798">
            <v>2020000100207</v>
          </cell>
          <cell r="BP798">
            <v>30</v>
          </cell>
        </row>
        <row r="799">
          <cell r="B799">
            <v>2020000100504</v>
          </cell>
          <cell r="BP799">
            <v>47.4</v>
          </cell>
        </row>
        <row r="800">
          <cell r="B800">
            <v>2020000100533</v>
          </cell>
          <cell r="BP800">
            <v>44.6</v>
          </cell>
        </row>
        <row r="801">
          <cell r="B801">
            <v>2022000100080</v>
          </cell>
          <cell r="BP801">
            <v>8</v>
          </cell>
        </row>
        <row r="802">
          <cell r="B802">
            <v>2024000100116</v>
          </cell>
          <cell r="BP802">
            <v>40</v>
          </cell>
        </row>
        <row r="803">
          <cell r="B803">
            <v>2019000100026</v>
          </cell>
          <cell r="BP803">
            <v>35.200000000000003</v>
          </cell>
        </row>
        <row r="804">
          <cell r="B804">
            <v>2020000100540</v>
          </cell>
          <cell r="BP804">
            <v>68</v>
          </cell>
        </row>
        <row r="805">
          <cell r="B805">
            <v>2021000100003</v>
          </cell>
          <cell r="BP805">
            <v>83.2</v>
          </cell>
        </row>
        <row r="806">
          <cell r="B806">
            <v>2021000100489</v>
          </cell>
          <cell r="BP806">
            <v>100</v>
          </cell>
        </row>
        <row r="807">
          <cell r="B807">
            <v>2019000100045</v>
          </cell>
          <cell r="BP807">
            <v>71.599999999999994</v>
          </cell>
        </row>
        <row r="808">
          <cell r="B808">
            <v>2020000100190</v>
          </cell>
          <cell r="BP808">
            <v>44.5</v>
          </cell>
        </row>
        <row r="809">
          <cell r="B809">
            <v>2021000100372</v>
          </cell>
          <cell r="BP809">
            <v>44.1</v>
          </cell>
        </row>
        <row r="810">
          <cell r="B810">
            <v>2025050440004</v>
          </cell>
          <cell r="BP810">
            <v>100</v>
          </cell>
        </row>
        <row r="811">
          <cell r="B811">
            <v>2025050440006</v>
          </cell>
          <cell r="BP811">
            <v>10</v>
          </cell>
        </row>
        <row r="812">
          <cell r="B812">
            <v>2025050440001</v>
          </cell>
          <cell r="BP812">
            <v>0</v>
          </cell>
        </row>
        <row r="813">
          <cell r="B813">
            <v>2025050440002</v>
          </cell>
          <cell r="BP813">
            <v>0</v>
          </cell>
        </row>
        <row r="814">
          <cell r="B814">
            <v>2025050440003</v>
          </cell>
          <cell r="BP814">
            <v>0</v>
          </cell>
        </row>
        <row r="815">
          <cell r="B815">
            <v>2025050450004</v>
          </cell>
          <cell r="BP815">
            <v>0</v>
          </cell>
        </row>
        <row r="816">
          <cell r="B816">
            <v>2025050450001</v>
          </cell>
          <cell r="BP816">
            <v>100</v>
          </cell>
        </row>
        <row r="817">
          <cell r="B817">
            <v>2025050450003</v>
          </cell>
          <cell r="BP817">
            <v>100</v>
          </cell>
        </row>
        <row r="818">
          <cell r="B818">
            <v>2025050510005</v>
          </cell>
          <cell r="BP818">
            <v>72.400000000000006</v>
          </cell>
        </row>
        <row r="819">
          <cell r="B819">
            <v>2025050790003</v>
          </cell>
          <cell r="BP819">
            <v>60</v>
          </cell>
        </row>
        <row r="820">
          <cell r="B820">
            <v>2025050790004</v>
          </cell>
          <cell r="BP820">
            <v>0</v>
          </cell>
        </row>
        <row r="821">
          <cell r="B821">
            <v>2025050910005</v>
          </cell>
          <cell r="BP821">
            <v>54</v>
          </cell>
        </row>
        <row r="822">
          <cell r="B822">
            <v>2021050910077</v>
          </cell>
          <cell r="BP822">
            <v>0</v>
          </cell>
        </row>
        <row r="823">
          <cell r="B823">
            <v>2025050910004</v>
          </cell>
          <cell r="BP823">
            <v>16.5</v>
          </cell>
        </row>
        <row r="824">
          <cell r="B824">
            <v>2024050910006</v>
          </cell>
          <cell r="BP824">
            <v>90</v>
          </cell>
        </row>
        <row r="825">
          <cell r="B825">
            <v>2023050930007</v>
          </cell>
          <cell r="BP825">
            <v>8.1</v>
          </cell>
        </row>
        <row r="826">
          <cell r="B826">
            <v>2024050930009</v>
          </cell>
          <cell r="BP826">
            <v>0</v>
          </cell>
        </row>
        <row r="827">
          <cell r="B827">
            <v>20241301010261</v>
          </cell>
          <cell r="BP827">
            <v>60</v>
          </cell>
        </row>
        <row r="828">
          <cell r="B828">
            <v>2024051130047</v>
          </cell>
          <cell r="BP828">
            <v>27</v>
          </cell>
        </row>
        <row r="829">
          <cell r="B829">
            <v>2025051130003</v>
          </cell>
          <cell r="BP829">
            <v>40</v>
          </cell>
        </row>
        <row r="830">
          <cell r="B830">
            <v>2025051130004</v>
          </cell>
          <cell r="BP830">
            <v>86.4</v>
          </cell>
        </row>
        <row r="831">
          <cell r="B831">
            <v>2025051130006</v>
          </cell>
          <cell r="BP831">
            <v>90</v>
          </cell>
        </row>
        <row r="832">
          <cell r="B832">
            <v>2025051130007</v>
          </cell>
          <cell r="BP832">
            <v>60.8</v>
          </cell>
        </row>
        <row r="833">
          <cell r="B833">
            <v>2025051130008</v>
          </cell>
          <cell r="BP833">
            <v>42.4</v>
          </cell>
        </row>
        <row r="834">
          <cell r="B834">
            <v>2025051130009</v>
          </cell>
          <cell r="BP834">
            <v>36</v>
          </cell>
        </row>
        <row r="835">
          <cell r="B835">
            <v>2025051200001</v>
          </cell>
          <cell r="BP835">
            <v>90</v>
          </cell>
        </row>
        <row r="836">
          <cell r="B836">
            <v>2026051200001</v>
          </cell>
          <cell r="BP836">
            <v>100</v>
          </cell>
        </row>
        <row r="837">
          <cell r="B837">
            <v>2025051200003</v>
          </cell>
          <cell r="BP837">
            <v>100</v>
          </cell>
        </row>
        <row r="838">
          <cell r="B838">
            <v>2024051200012</v>
          </cell>
          <cell r="BP838">
            <v>100</v>
          </cell>
        </row>
        <row r="839">
          <cell r="B839">
            <v>2022003050001</v>
          </cell>
          <cell r="BP839">
            <v>0</v>
          </cell>
        </row>
        <row r="840">
          <cell r="B840">
            <v>2025051250002</v>
          </cell>
          <cell r="BP840">
            <v>100</v>
          </cell>
        </row>
        <row r="841">
          <cell r="B841">
            <v>2024051340023</v>
          </cell>
          <cell r="BP841">
            <v>0</v>
          </cell>
        </row>
        <row r="842">
          <cell r="B842">
            <v>2025051340002</v>
          </cell>
          <cell r="BP842">
            <v>0</v>
          </cell>
        </row>
        <row r="843">
          <cell r="B843">
            <v>2025051340003</v>
          </cell>
          <cell r="BP843">
            <v>0</v>
          </cell>
        </row>
        <row r="844">
          <cell r="B844">
            <v>2025051340004</v>
          </cell>
          <cell r="BP844">
            <v>40</v>
          </cell>
        </row>
        <row r="845">
          <cell r="B845">
            <v>2019051340028</v>
          </cell>
          <cell r="BP845">
            <v>4</v>
          </cell>
        </row>
        <row r="846">
          <cell r="B846">
            <v>2020051340051</v>
          </cell>
          <cell r="BP846">
            <v>0</v>
          </cell>
        </row>
        <row r="847">
          <cell r="B847">
            <v>2023051340003</v>
          </cell>
          <cell r="BP847">
            <v>0</v>
          </cell>
        </row>
        <row r="848">
          <cell r="B848">
            <v>2025051340005</v>
          </cell>
          <cell r="BP848">
            <v>0</v>
          </cell>
        </row>
        <row r="849">
          <cell r="B849">
            <v>2024051380009</v>
          </cell>
          <cell r="BP849">
            <v>100</v>
          </cell>
        </row>
        <row r="850">
          <cell r="B850">
            <v>2025051380003</v>
          </cell>
          <cell r="BP850">
            <v>100</v>
          </cell>
        </row>
        <row r="851">
          <cell r="B851">
            <v>2025051380004</v>
          </cell>
          <cell r="BP851">
            <v>44.5</v>
          </cell>
        </row>
        <row r="852">
          <cell r="B852">
            <v>2026051380001</v>
          </cell>
          <cell r="BP852">
            <v>100</v>
          </cell>
        </row>
        <row r="853">
          <cell r="B853">
            <v>2024051420159</v>
          </cell>
          <cell r="BP853">
            <v>0</v>
          </cell>
        </row>
        <row r="854">
          <cell r="B854">
            <v>2025051420003</v>
          </cell>
          <cell r="BP854">
            <v>45.6</v>
          </cell>
        </row>
        <row r="855">
          <cell r="B855">
            <v>2025051420006</v>
          </cell>
          <cell r="BP855">
            <v>80</v>
          </cell>
        </row>
        <row r="856">
          <cell r="B856">
            <v>2025051450002</v>
          </cell>
          <cell r="BP856">
            <v>0</v>
          </cell>
        </row>
        <row r="857">
          <cell r="B857">
            <v>2023051450007</v>
          </cell>
          <cell r="BP857">
            <v>0</v>
          </cell>
        </row>
        <row r="858">
          <cell r="B858">
            <v>2025051470002</v>
          </cell>
          <cell r="BP858">
            <v>89.2</v>
          </cell>
        </row>
        <row r="859">
          <cell r="B859">
            <v>2025051470005</v>
          </cell>
          <cell r="BP859">
            <v>100</v>
          </cell>
        </row>
        <row r="860">
          <cell r="B860">
            <v>2025051500001</v>
          </cell>
          <cell r="BP860">
            <v>95.6</v>
          </cell>
        </row>
        <row r="861">
          <cell r="B861">
            <v>2025051500002</v>
          </cell>
          <cell r="BP861">
            <v>60</v>
          </cell>
        </row>
        <row r="862">
          <cell r="B862">
            <v>2024051500001</v>
          </cell>
          <cell r="BP862">
            <v>100</v>
          </cell>
        </row>
        <row r="863">
          <cell r="B863">
            <v>2025051540002</v>
          </cell>
          <cell r="BP863">
            <v>90</v>
          </cell>
        </row>
        <row r="864">
          <cell r="B864">
            <v>2025051540005</v>
          </cell>
          <cell r="BP864">
            <v>44.5</v>
          </cell>
        </row>
        <row r="865">
          <cell r="B865">
            <v>2025051540009</v>
          </cell>
          <cell r="BP865">
            <v>100</v>
          </cell>
        </row>
        <row r="866">
          <cell r="B866">
            <v>2025051540016</v>
          </cell>
          <cell r="BP866">
            <v>100</v>
          </cell>
        </row>
        <row r="867">
          <cell r="B867">
            <v>2025051540008</v>
          </cell>
          <cell r="BP867">
            <v>44.5</v>
          </cell>
        </row>
        <row r="868">
          <cell r="B868">
            <v>2025051540014</v>
          </cell>
          <cell r="BP868">
            <v>8.9</v>
          </cell>
        </row>
        <row r="869">
          <cell r="B869">
            <v>2023051540018</v>
          </cell>
          <cell r="BP869">
            <v>0</v>
          </cell>
        </row>
        <row r="870">
          <cell r="B870">
            <v>2025051540004</v>
          </cell>
          <cell r="BP870">
            <v>100</v>
          </cell>
        </row>
        <row r="871">
          <cell r="B871">
            <v>2025051540012</v>
          </cell>
          <cell r="BP871">
            <v>100</v>
          </cell>
        </row>
        <row r="872">
          <cell r="B872">
            <v>2025051540020</v>
          </cell>
          <cell r="BP872">
            <v>40</v>
          </cell>
        </row>
        <row r="873">
          <cell r="B873">
            <v>2025051540022</v>
          </cell>
          <cell r="BP873">
            <v>40</v>
          </cell>
        </row>
        <row r="874">
          <cell r="B874">
            <v>2025051540011</v>
          </cell>
          <cell r="BP874">
            <v>35.5</v>
          </cell>
        </row>
        <row r="875">
          <cell r="B875">
            <v>2025051540017</v>
          </cell>
          <cell r="BP875">
            <v>23.6</v>
          </cell>
        </row>
        <row r="876">
          <cell r="B876">
            <v>2025051540015</v>
          </cell>
          <cell r="BP876">
            <v>100</v>
          </cell>
        </row>
        <row r="877">
          <cell r="B877">
            <v>2024051540013</v>
          </cell>
          <cell r="BP877">
            <v>0</v>
          </cell>
        </row>
        <row r="878">
          <cell r="B878">
            <v>2025051720008</v>
          </cell>
          <cell r="BP878">
            <v>100</v>
          </cell>
        </row>
        <row r="879">
          <cell r="B879">
            <v>20181719000299</v>
          </cell>
          <cell r="BP879">
            <v>100</v>
          </cell>
        </row>
        <row r="880">
          <cell r="B880">
            <v>2025051720007</v>
          </cell>
          <cell r="BP880">
            <v>100</v>
          </cell>
        </row>
        <row r="881">
          <cell r="B881">
            <v>20251301010389</v>
          </cell>
          <cell r="BP881">
            <v>40</v>
          </cell>
        </row>
        <row r="882">
          <cell r="B882">
            <v>2025051900003</v>
          </cell>
          <cell r="BP882">
            <v>45.6</v>
          </cell>
        </row>
        <row r="883">
          <cell r="B883">
            <v>2025051010001</v>
          </cell>
          <cell r="BP883">
            <v>40</v>
          </cell>
        </row>
        <row r="884">
          <cell r="B884">
            <v>2025051010002</v>
          </cell>
          <cell r="BP884">
            <v>60</v>
          </cell>
        </row>
        <row r="885">
          <cell r="B885">
            <v>2023051010020</v>
          </cell>
          <cell r="BP885">
            <v>0</v>
          </cell>
        </row>
        <row r="886">
          <cell r="B886">
            <v>2025052090001</v>
          </cell>
          <cell r="BP886">
            <v>78.8</v>
          </cell>
        </row>
        <row r="887">
          <cell r="B887">
            <v>2025052090002</v>
          </cell>
          <cell r="BP887">
            <v>53.4</v>
          </cell>
        </row>
        <row r="888">
          <cell r="B888">
            <v>2025052340004</v>
          </cell>
          <cell r="BP888">
            <v>60</v>
          </cell>
        </row>
        <row r="889">
          <cell r="B889">
            <v>2025052340003</v>
          </cell>
          <cell r="BP889">
            <v>100</v>
          </cell>
        </row>
        <row r="890">
          <cell r="B890">
            <v>2025052340001</v>
          </cell>
          <cell r="BP890">
            <v>72</v>
          </cell>
        </row>
        <row r="891">
          <cell r="B891">
            <v>2023052340028</v>
          </cell>
          <cell r="BP891">
            <v>82</v>
          </cell>
        </row>
        <row r="892">
          <cell r="B892">
            <v>2025052400002</v>
          </cell>
          <cell r="BP892">
            <v>37</v>
          </cell>
        </row>
        <row r="893">
          <cell r="B893">
            <v>2023052500010</v>
          </cell>
          <cell r="BP893">
            <v>45.5</v>
          </cell>
        </row>
        <row r="894">
          <cell r="B894">
            <v>2022052500003</v>
          </cell>
          <cell r="BP894">
            <v>0</v>
          </cell>
        </row>
        <row r="895">
          <cell r="B895">
            <v>2024052500061</v>
          </cell>
          <cell r="BP895">
            <v>0</v>
          </cell>
        </row>
        <row r="896">
          <cell r="B896">
            <v>2025052500002</v>
          </cell>
          <cell r="BP896">
            <v>34.4</v>
          </cell>
        </row>
        <row r="897">
          <cell r="B897">
            <v>2025052500004</v>
          </cell>
          <cell r="BP897">
            <v>49.2</v>
          </cell>
        </row>
        <row r="898">
          <cell r="B898">
            <v>2025052500005</v>
          </cell>
          <cell r="BP898">
            <v>0</v>
          </cell>
        </row>
        <row r="899">
          <cell r="B899">
            <v>2025052500009</v>
          </cell>
          <cell r="BP899">
            <v>89.2</v>
          </cell>
        </row>
        <row r="900">
          <cell r="B900">
            <v>2025052500010</v>
          </cell>
          <cell r="BP900">
            <v>100</v>
          </cell>
        </row>
        <row r="901">
          <cell r="B901">
            <v>2025052500006</v>
          </cell>
          <cell r="BP901">
            <v>100</v>
          </cell>
        </row>
        <row r="902">
          <cell r="B902">
            <v>2025052500008</v>
          </cell>
          <cell r="BP902">
            <v>60</v>
          </cell>
        </row>
        <row r="903">
          <cell r="B903">
            <v>2025052820002</v>
          </cell>
          <cell r="BP903">
            <v>100</v>
          </cell>
        </row>
        <row r="904">
          <cell r="B904">
            <v>2025052820003</v>
          </cell>
          <cell r="BP904">
            <v>0</v>
          </cell>
        </row>
        <row r="905">
          <cell r="B905">
            <v>2025052820004</v>
          </cell>
          <cell r="BP905">
            <v>40</v>
          </cell>
        </row>
        <row r="906">
          <cell r="B906">
            <v>2025052820005</v>
          </cell>
          <cell r="BP906">
            <v>40</v>
          </cell>
        </row>
        <row r="907">
          <cell r="B907">
            <v>2025052820006</v>
          </cell>
          <cell r="BP907">
            <v>35.6</v>
          </cell>
        </row>
        <row r="908">
          <cell r="B908">
            <v>2023052820030</v>
          </cell>
          <cell r="BP908">
            <v>17.8</v>
          </cell>
        </row>
        <row r="909">
          <cell r="B909">
            <v>2023052820041</v>
          </cell>
          <cell r="BP909">
            <v>15.5</v>
          </cell>
        </row>
        <row r="910">
          <cell r="B910">
            <v>2019052820005</v>
          </cell>
          <cell r="BP910">
            <v>0</v>
          </cell>
        </row>
        <row r="911">
          <cell r="B911">
            <v>2022052820039</v>
          </cell>
          <cell r="BP911">
            <v>0</v>
          </cell>
        </row>
        <row r="912">
          <cell r="B912">
            <v>2025052840004</v>
          </cell>
          <cell r="BP912">
            <v>53.8</v>
          </cell>
        </row>
        <row r="913">
          <cell r="B913">
            <v>2023053060071</v>
          </cell>
          <cell r="BP913">
            <v>0</v>
          </cell>
        </row>
        <row r="914">
          <cell r="B914">
            <v>2025053060002</v>
          </cell>
          <cell r="BP914">
            <v>0</v>
          </cell>
        </row>
        <row r="915">
          <cell r="B915">
            <v>2025053080001</v>
          </cell>
          <cell r="BP915">
            <v>95.6</v>
          </cell>
        </row>
        <row r="916">
          <cell r="B916">
            <v>2025053100005</v>
          </cell>
          <cell r="BP916">
            <v>33.200000000000003</v>
          </cell>
        </row>
        <row r="917">
          <cell r="B917">
            <v>2025053100006</v>
          </cell>
          <cell r="BP917">
            <v>10</v>
          </cell>
        </row>
        <row r="918">
          <cell r="B918">
            <v>2023053100004</v>
          </cell>
          <cell r="BP918">
            <v>89</v>
          </cell>
        </row>
        <row r="919">
          <cell r="B919">
            <v>2025053130001</v>
          </cell>
          <cell r="BP919">
            <v>100</v>
          </cell>
        </row>
        <row r="920">
          <cell r="B920">
            <v>2025053130002</v>
          </cell>
          <cell r="BP920">
            <v>0</v>
          </cell>
        </row>
        <row r="921">
          <cell r="B921">
            <v>2025053210001</v>
          </cell>
          <cell r="BP921">
            <v>89</v>
          </cell>
        </row>
        <row r="922">
          <cell r="B922">
            <v>2025053470001</v>
          </cell>
          <cell r="BP922">
            <v>5</v>
          </cell>
        </row>
        <row r="923">
          <cell r="B923">
            <v>2025053610005</v>
          </cell>
          <cell r="BP923">
            <v>0</v>
          </cell>
        </row>
        <row r="924">
          <cell r="B924">
            <v>2025053640001</v>
          </cell>
          <cell r="BP924">
            <v>60</v>
          </cell>
        </row>
        <row r="925">
          <cell r="B925">
            <v>2025053640002</v>
          </cell>
          <cell r="BP925">
            <v>20</v>
          </cell>
        </row>
        <row r="926">
          <cell r="B926">
            <v>2025053680001</v>
          </cell>
          <cell r="BP926">
            <v>30.8</v>
          </cell>
        </row>
        <row r="927">
          <cell r="B927">
            <v>2025053680002</v>
          </cell>
          <cell r="BP927">
            <v>40</v>
          </cell>
        </row>
        <row r="928">
          <cell r="B928">
            <v>2025053680003</v>
          </cell>
          <cell r="BP928">
            <v>40</v>
          </cell>
        </row>
        <row r="929">
          <cell r="B929">
            <v>2024054250015</v>
          </cell>
          <cell r="BP929">
            <v>0</v>
          </cell>
        </row>
        <row r="930">
          <cell r="B930">
            <v>2025054250001</v>
          </cell>
          <cell r="BP930">
            <v>0</v>
          </cell>
        </row>
        <row r="931">
          <cell r="B931">
            <v>2025054250002</v>
          </cell>
          <cell r="BP931">
            <v>0</v>
          </cell>
        </row>
        <row r="932">
          <cell r="B932">
            <v>2025054250003</v>
          </cell>
          <cell r="BP932">
            <v>0</v>
          </cell>
        </row>
        <row r="933">
          <cell r="B933">
            <v>2025054250004</v>
          </cell>
          <cell r="BP933">
            <v>0</v>
          </cell>
        </row>
        <row r="934">
          <cell r="B934">
            <v>2025054250005</v>
          </cell>
          <cell r="BP934">
            <v>0</v>
          </cell>
        </row>
        <row r="935">
          <cell r="B935">
            <v>2024054400053</v>
          </cell>
          <cell r="BP935">
            <v>100</v>
          </cell>
        </row>
        <row r="936">
          <cell r="B936">
            <v>2023054750010</v>
          </cell>
          <cell r="BP936">
            <v>100</v>
          </cell>
        </row>
        <row r="937">
          <cell r="B937">
            <v>2025054750001</v>
          </cell>
          <cell r="BP937">
            <v>35.6</v>
          </cell>
        </row>
        <row r="938">
          <cell r="B938">
            <v>2024054750087</v>
          </cell>
          <cell r="BP938">
            <v>16.899999999999999</v>
          </cell>
        </row>
        <row r="939">
          <cell r="B939">
            <v>2025054800003</v>
          </cell>
          <cell r="BP939">
            <v>100</v>
          </cell>
        </row>
        <row r="940">
          <cell r="B940">
            <v>2025054800002</v>
          </cell>
          <cell r="BP940">
            <v>0</v>
          </cell>
        </row>
        <row r="941">
          <cell r="B941">
            <v>2024054830023</v>
          </cell>
          <cell r="BP941">
            <v>0</v>
          </cell>
        </row>
        <row r="942">
          <cell r="B942">
            <v>20201301011990</v>
          </cell>
          <cell r="BP942">
            <v>100</v>
          </cell>
        </row>
        <row r="943">
          <cell r="B943">
            <v>2025054950006</v>
          </cell>
          <cell r="BP943">
            <v>100</v>
          </cell>
        </row>
        <row r="944">
          <cell r="B944">
            <v>2025054950002</v>
          </cell>
          <cell r="BP944">
            <v>100</v>
          </cell>
        </row>
        <row r="945">
          <cell r="B945">
            <v>2025054950003</v>
          </cell>
          <cell r="BP945">
            <v>90</v>
          </cell>
        </row>
        <row r="946">
          <cell r="B946">
            <v>2025054950005</v>
          </cell>
          <cell r="BP946">
            <v>100</v>
          </cell>
        </row>
        <row r="947">
          <cell r="B947">
            <v>20251301010166</v>
          </cell>
          <cell r="BP947">
            <v>0</v>
          </cell>
        </row>
        <row r="948">
          <cell r="B948">
            <v>2025054900005</v>
          </cell>
          <cell r="BP948">
            <v>100</v>
          </cell>
        </row>
        <row r="949">
          <cell r="B949">
            <v>2025054900007</v>
          </cell>
          <cell r="BP949">
            <v>96</v>
          </cell>
        </row>
        <row r="950">
          <cell r="B950">
            <v>2023054900020</v>
          </cell>
          <cell r="BP950">
            <v>100</v>
          </cell>
        </row>
        <row r="951">
          <cell r="B951">
            <v>2024054900077</v>
          </cell>
          <cell r="BP951">
            <v>0</v>
          </cell>
        </row>
        <row r="952">
          <cell r="B952">
            <v>2025054900006</v>
          </cell>
          <cell r="BP952">
            <v>0</v>
          </cell>
        </row>
        <row r="953">
          <cell r="B953">
            <v>2025055010002</v>
          </cell>
          <cell r="BP953">
            <v>0</v>
          </cell>
        </row>
        <row r="954">
          <cell r="B954">
            <v>2023055430022</v>
          </cell>
          <cell r="BP954">
            <v>0</v>
          </cell>
        </row>
        <row r="955">
          <cell r="B955">
            <v>2025055760001</v>
          </cell>
          <cell r="BP955">
            <v>0</v>
          </cell>
        </row>
        <row r="956">
          <cell r="B956">
            <v>2025055760002</v>
          </cell>
          <cell r="BP956">
            <v>40</v>
          </cell>
        </row>
        <row r="957">
          <cell r="B957">
            <v>2025055850012</v>
          </cell>
          <cell r="BP957">
            <v>72.400000000000006</v>
          </cell>
        </row>
        <row r="958">
          <cell r="B958">
            <v>2025055850005</v>
          </cell>
          <cell r="BP958">
            <v>0</v>
          </cell>
        </row>
        <row r="959">
          <cell r="B959">
            <v>2025055850008</v>
          </cell>
          <cell r="BP959">
            <v>0</v>
          </cell>
        </row>
        <row r="960">
          <cell r="B960">
            <v>2025055850004</v>
          </cell>
          <cell r="BP960">
            <v>0</v>
          </cell>
        </row>
        <row r="961">
          <cell r="B961">
            <v>2023055850010</v>
          </cell>
          <cell r="BP961">
            <v>0</v>
          </cell>
        </row>
        <row r="962">
          <cell r="B962">
            <v>2024055850001</v>
          </cell>
          <cell r="BP962">
            <v>0</v>
          </cell>
        </row>
        <row r="963">
          <cell r="B963">
            <v>2024055850004</v>
          </cell>
          <cell r="BP963">
            <v>0</v>
          </cell>
        </row>
        <row r="964">
          <cell r="B964">
            <v>2024055850018</v>
          </cell>
          <cell r="BP964">
            <v>0</v>
          </cell>
        </row>
        <row r="965">
          <cell r="B965">
            <v>2024055850032</v>
          </cell>
          <cell r="BP965">
            <v>0</v>
          </cell>
        </row>
        <row r="966">
          <cell r="B966">
            <v>2025055850002</v>
          </cell>
          <cell r="BP966">
            <v>0</v>
          </cell>
        </row>
        <row r="967">
          <cell r="B967">
            <v>2025055850003</v>
          </cell>
          <cell r="BP967">
            <v>0</v>
          </cell>
        </row>
        <row r="968">
          <cell r="B968">
            <v>2025055850006</v>
          </cell>
          <cell r="BP968">
            <v>40</v>
          </cell>
        </row>
        <row r="969">
          <cell r="B969">
            <v>2025055850007</v>
          </cell>
          <cell r="BP969">
            <v>0</v>
          </cell>
        </row>
        <row r="970">
          <cell r="B970">
            <v>2025055850013</v>
          </cell>
          <cell r="BP970">
            <v>69.599999999999994</v>
          </cell>
        </row>
        <row r="971">
          <cell r="B971">
            <v>2025055850014</v>
          </cell>
          <cell r="BP971">
            <v>100</v>
          </cell>
        </row>
        <row r="972">
          <cell r="B972">
            <v>2025055850010</v>
          </cell>
          <cell r="BP972">
            <v>60</v>
          </cell>
        </row>
        <row r="973">
          <cell r="B973">
            <v>20191301010225</v>
          </cell>
          <cell r="BP973">
            <v>100</v>
          </cell>
        </row>
        <row r="974">
          <cell r="B974">
            <v>2024056040089</v>
          </cell>
          <cell r="BP974">
            <v>23.5</v>
          </cell>
        </row>
        <row r="975">
          <cell r="B975">
            <v>2025056040003</v>
          </cell>
          <cell r="BP975">
            <v>100</v>
          </cell>
        </row>
        <row r="976">
          <cell r="B976">
            <v>2025056040005</v>
          </cell>
          <cell r="BP976">
            <v>84.8</v>
          </cell>
        </row>
        <row r="977">
          <cell r="B977">
            <v>2025056040006</v>
          </cell>
          <cell r="BP977">
            <v>97.2</v>
          </cell>
        </row>
        <row r="978">
          <cell r="B978">
            <v>2025056040007</v>
          </cell>
          <cell r="BP978">
            <v>100</v>
          </cell>
        </row>
        <row r="979">
          <cell r="B979">
            <v>2025056040008</v>
          </cell>
          <cell r="BP979">
            <v>60</v>
          </cell>
        </row>
        <row r="980">
          <cell r="B980">
            <v>2025056040009</v>
          </cell>
          <cell r="BP980">
            <v>60</v>
          </cell>
        </row>
        <row r="981">
          <cell r="B981">
            <v>2023056040005</v>
          </cell>
          <cell r="BP981">
            <v>95.6</v>
          </cell>
        </row>
        <row r="982">
          <cell r="B982">
            <v>2025056040002</v>
          </cell>
          <cell r="BP982">
            <v>50</v>
          </cell>
        </row>
        <row r="983">
          <cell r="B983">
            <v>2025056040004</v>
          </cell>
          <cell r="BP983">
            <v>60</v>
          </cell>
        </row>
        <row r="984">
          <cell r="B984">
            <v>20201301012592</v>
          </cell>
          <cell r="BP984">
            <v>98.4</v>
          </cell>
        </row>
        <row r="985">
          <cell r="B985">
            <v>2025056280001</v>
          </cell>
          <cell r="BP985">
            <v>100</v>
          </cell>
        </row>
        <row r="986">
          <cell r="B986">
            <v>2024056420046</v>
          </cell>
          <cell r="BP986">
            <v>10</v>
          </cell>
        </row>
        <row r="987">
          <cell r="B987">
            <v>2025056420002</v>
          </cell>
          <cell r="BP987">
            <v>20</v>
          </cell>
        </row>
        <row r="988">
          <cell r="B988">
            <v>2025056420003</v>
          </cell>
          <cell r="BP988">
            <v>0</v>
          </cell>
        </row>
        <row r="989">
          <cell r="B989">
            <v>2025056470001</v>
          </cell>
          <cell r="BP989">
            <v>79.599999999999994</v>
          </cell>
        </row>
        <row r="990">
          <cell r="B990">
            <v>2025056470002</v>
          </cell>
          <cell r="BP990">
            <v>84</v>
          </cell>
        </row>
        <row r="991">
          <cell r="B991">
            <v>2025056470003</v>
          </cell>
          <cell r="BP991">
            <v>60</v>
          </cell>
        </row>
        <row r="992">
          <cell r="B992">
            <v>2026056470001</v>
          </cell>
          <cell r="BP992">
            <v>67.2</v>
          </cell>
        </row>
        <row r="993">
          <cell r="B993">
            <v>2023056470002</v>
          </cell>
          <cell r="BP993">
            <v>45.2</v>
          </cell>
        </row>
        <row r="994">
          <cell r="B994">
            <v>2024056490114</v>
          </cell>
          <cell r="BP994">
            <v>0</v>
          </cell>
        </row>
        <row r="995">
          <cell r="B995">
            <v>2025056520001</v>
          </cell>
          <cell r="BP995">
            <v>30</v>
          </cell>
        </row>
        <row r="996">
          <cell r="B996">
            <v>2025056520003</v>
          </cell>
          <cell r="BP996">
            <v>100</v>
          </cell>
        </row>
        <row r="997">
          <cell r="B997">
            <v>2024056560004</v>
          </cell>
          <cell r="BP997">
            <v>0</v>
          </cell>
        </row>
        <row r="998">
          <cell r="B998">
            <v>2025056560001</v>
          </cell>
          <cell r="BP998">
            <v>45</v>
          </cell>
        </row>
        <row r="999">
          <cell r="B999">
            <v>2025056590001</v>
          </cell>
          <cell r="BP999">
            <v>64.099999999999994</v>
          </cell>
        </row>
        <row r="1000">
          <cell r="B1000">
            <v>2025056600001</v>
          </cell>
          <cell r="BP1000">
            <v>0</v>
          </cell>
        </row>
        <row r="1001">
          <cell r="B1001">
            <v>2024056640002</v>
          </cell>
          <cell r="BP1001">
            <v>41.2</v>
          </cell>
        </row>
        <row r="1002">
          <cell r="B1002">
            <v>2025056640001</v>
          </cell>
          <cell r="BP1002">
            <v>50</v>
          </cell>
        </row>
        <row r="1003">
          <cell r="B1003">
            <v>20241301010169</v>
          </cell>
          <cell r="BP1003">
            <v>89</v>
          </cell>
        </row>
        <row r="1004">
          <cell r="B1004">
            <v>20201301011436</v>
          </cell>
          <cell r="BP1004">
            <v>0</v>
          </cell>
        </row>
        <row r="1005">
          <cell r="B1005">
            <v>20201301010138</v>
          </cell>
          <cell r="BP1005">
            <v>1</v>
          </cell>
        </row>
        <row r="1006">
          <cell r="B1006">
            <v>2024056650073</v>
          </cell>
          <cell r="BP1006">
            <v>0</v>
          </cell>
        </row>
        <row r="1007">
          <cell r="B1007">
            <v>2025056670003</v>
          </cell>
          <cell r="BP1007">
            <v>87.6</v>
          </cell>
        </row>
        <row r="1008">
          <cell r="B1008">
            <v>2025056670004</v>
          </cell>
          <cell r="BP1008">
            <v>0</v>
          </cell>
        </row>
        <row r="1009">
          <cell r="B1009">
            <v>2024056700105</v>
          </cell>
          <cell r="BP1009">
            <v>0</v>
          </cell>
        </row>
        <row r="1010">
          <cell r="B1010">
            <v>2023056700048</v>
          </cell>
          <cell r="BP1010">
            <v>0</v>
          </cell>
        </row>
        <row r="1011">
          <cell r="B1011">
            <v>2024056740117</v>
          </cell>
          <cell r="BP1011">
            <v>30</v>
          </cell>
        </row>
        <row r="1012">
          <cell r="B1012">
            <v>2025056790001</v>
          </cell>
          <cell r="BP1012">
            <v>0</v>
          </cell>
        </row>
        <row r="1013">
          <cell r="B1013">
            <v>2025056790003</v>
          </cell>
          <cell r="BP1013">
            <v>100</v>
          </cell>
        </row>
        <row r="1014">
          <cell r="B1014">
            <v>2024056860076</v>
          </cell>
          <cell r="BP1014">
            <v>34.5</v>
          </cell>
        </row>
        <row r="1015">
          <cell r="B1015">
            <v>2025056860002</v>
          </cell>
          <cell r="BP1015">
            <v>16.5</v>
          </cell>
        </row>
        <row r="1016">
          <cell r="B1016">
            <v>2023050420006</v>
          </cell>
          <cell r="BP1016">
            <v>42.4</v>
          </cell>
        </row>
        <row r="1017">
          <cell r="B1017">
            <v>2025056900003</v>
          </cell>
          <cell r="BP1017">
            <v>0</v>
          </cell>
        </row>
        <row r="1018">
          <cell r="B1018">
            <v>2025056900004</v>
          </cell>
          <cell r="BP1018">
            <v>90</v>
          </cell>
        </row>
        <row r="1019">
          <cell r="B1019">
            <v>20201301012055</v>
          </cell>
          <cell r="BP1019">
            <v>73.2</v>
          </cell>
        </row>
        <row r="1020">
          <cell r="B1020">
            <v>2023000040003</v>
          </cell>
          <cell r="BP1020">
            <v>89</v>
          </cell>
        </row>
        <row r="1021">
          <cell r="B1021">
            <v>2025057560002</v>
          </cell>
          <cell r="BP1021">
            <v>56</v>
          </cell>
        </row>
        <row r="1022">
          <cell r="B1022">
            <v>2025057560001</v>
          </cell>
          <cell r="BP1022">
            <v>60</v>
          </cell>
        </row>
        <row r="1023">
          <cell r="B1023">
            <v>2025057610002</v>
          </cell>
          <cell r="BP1023">
            <v>60</v>
          </cell>
        </row>
        <row r="1024">
          <cell r="B1024">
            <v>2025057890001</v>
          </cell>
          <cell r="BP1024">
            <v>44.5</v>
          </cell>
        </row>
        <row r="1025">
          <cell r="B1025">
            <v>2025057890003</v>
          </cell>
          <cell r="BP1025">
            <v>60</v>
          </cell>
        </row>
        <row r="1026">
          <cell r="B1026">
            <v>2025057890002</v>
          </cell>
          <cell r="BP1026">
            <v>0</v>
          </cell>
        </row>
        <row r="1027">
          <cell r="B1027">
            <v>2025057920003</v>
          </cell>
          <cell r="BP1027">
            <v>0</v>
          </cell>
        </row>
        <row r="1028">
          <cell r="B1028">
            <v>2025058090001</v>
          </cell>
          <cell r="BP1028">
            <v>0</v>
          </cell>
        </row>
        <row r="1029">
          <cell r="B1029">
            <v>2025058190002</v>
          </cell>
          <cell r="BP1029">
            <v>91.2</v>
          </cell>
        </row>
        <row r="1030">
          <cell r="B1030">
            <v>2024058370106</v>
          </cell>
          <cell r="BP1030">
            <v>89</v>
          </cell>
        </row>
        <row r="1031">
          <cell r="B1031">
            <v>2025058370003</v>
          </cell>
          <cell r="BP1031">
            <v>76.2</v>
          </cell>
        </row>
        <row r="1032">
          <cell r="B1032">
            <v>2019058370003</v>
          </cell>
          <cell r="BP1032">
            <v>7</v>
          </cell>
        </row>
        <row r="1033">
          <cell r="B1033">
            <v>2025058420001</v>
          </cell>
          <cell r="BP1033">
            <v>68</v>
          </cell>
        </row>
        <row r="1034">
          <cell r="B1034">
            <v>2026058420001</v>
          </cell>
          <cell r="BP1034">
            <v>100</v>
          </cell>
        </row>
        <row r="1035">
          <cell r="B1035">
            <v>2025058540002</v>
          </cell>
          <cell r="BP1035">
            <v>50</v>
          </cell>
        </row>
        <row r="1036">
          <cell r="B1036">
            <v>20201301010602</v>
          </cell>
          <cell r="BP1036">
            <v>0</v>
          </cell>
        </row>
        <row r="1037">
          <cell r="B1037">
            <v>20241301010425</v>
          </cell>
          <cell r="BP1037">
            <v>40</v>
          </cell>
        </row>
        <row r="1038">
          <cell r="B1038">
            <v>2026058540001</v>
          </cell>
          <cell r="BP1038">
            <v>100</v>
          </cell>
        </row>
        <row r="1039">
          <cell r="B1039">
            <v>2025058540003</v>
          </cell>
          <cell r="BP1039">
            <v>100</v>
          </cell>
        </row>
        <row r="1040">
          <cell r="B1040">
            <v>2025058560002</v>
          </cell>
          <cell r="BP1040">
            <v>48.2</v>
          </cell>
        </row>
        <row r="1041">
          <cell r="B1041">
            <v>2024058560043</v>
          </cell>
          <cell r="BP1041">
            <v>40</v>
          </cell>
        </row>
        <row r="1042">
          <cell r="B1042">
            <v>2025058560001</v>
          </cell>
          <cell r="BP1042">
            <v>90.4</v>
          </cell>
        </row>
        <row r="1043">
          <cell r="B1043">
            <v>2025058580008</v>
          </cell>
          <cell r="BP1043">
            <v>100</v>
          </cell>
        </row>
        <row r="1044">
          <cell r="B1044">
            <v>2025058580009</v>
          </cell>
          <cell r="BP1044">
            <v>100</v>
          </cell>
        </row>
        <row r="1045">
          <cell r="B1045">
            <v>2025058580005</v>
          </cell>
          <cell r="BP1045">
            <v>0</v>
          </cell>
        </row>
        <row r="1046">
          <cell r="B1046">
            <v>2026058580001</v>
          </cell>
          <cell r="BP1046">
            <v>0</v>
          </cell>
        </row>
        <row r="1047">
          <cell r="B1047">
            <v>2025058580002</v>
          </cell>
          <cell r="BP1047">
            <v>100</v>
          </cell>
        </row>
        <row r="1048">
          <cell r="B1048">
            <v>2025058580006</v>
          </cell>
          <cell r="BP1048">
            <v>47</v>
          </cell>
        </row>
        <row r="1049">
          <cell r="B1049">
            <v>2025058580007</v>
          </cell>
          <cell r="BP1049">
            <v>50</v>
          </cell>
        </row>
        <row r="1050">
          <cell r="B1050">
            <v>2025058580011</v>
          </cell>
          <cell r="BP1050">
            <v>100</v>
          </cell>
        </row>
        <row r="1051">
          <cell r="B1051">
            <v>2025058610002</v>
          </cell>
          <cell r="BP1051">
            <v>79.599999999999994</v>
          </cell>
        </row>
        <row r="1052">
          <cell r="B1052">
            <v>2025058610003</v>
          </cell>
          <cell r="BP1052">
            <v>40</v>
          </cell>
        </row>
        <row r="1053">
          <cell r="B1053">
            <v>2024058610048</v>
          </cell>
          <cell r="BP1053">
            <v>6.5</v>
          </cell>
        </row>
        <row r="1054">
          <cell r="B1054">
            <v>2017058610001</v>
          </cell>
          <cell r="BP1054">
            <v>22.5</v>
          </cell>
        </row>
        <row r="1055">
          <cell r="B1055">
            <v>2025058610001</v>
          </cell>
          <cell r="BP1055">
            <v>40</v>
          </cell>
        </row>
        <row r="1056">
          <cell r="B1056">
            <v>2024058730032</v>
          </cell>
          <cell r="BP1056">
            <v>100</v>
          </cell>
        </row>
        <row r="1057">
          <cell r="B1057">
            <v>2025058730001</v>
          </cell>
          <cell r="BP1057">
            <v>35.6</v>
          </cell>
        </row>
        <row r="1058">
          <cell r="B1058">
            <v>2026058730001</v>
          </cell>
          <cell r="BP1058">
            <v>35.6</v>
          </cell>
        </row>
        <row r="1059">
          <cell r="B1059">
            <v>2025058850002</v>
          </cell>
          <cell r="BP1059">
            <v>8.9</v>
          </cell>
        </row>
        <row r="1060">
          <cell r="B1060">
            <v>2025058850003</v>
          </cell>
          <cell r="BP1060">
            <v>72.3</v>
          </cell>
        </row>
        <row r="1061">
          <cell r="B1061">
            <v>2024058870033</v>
          </cell>
          <cell r="BP1061">
            <v>0</v>
          </cell>
        </row>
        <row r="1062">
          <cell r="B1062">
            <v>2025058870001</v>
          </cell>
          <cell r="BP1062">
            <v>40</v>
          </cell>
        </row>
        <row r="1063">
          <cell r="B1063">
            <v>2025058870002</v>
          </cell>
          <cell r="BP1063">
            <v>40</v>
          </cell>
        </row>
        <row r="1064">
          <cell r="B1064">
            <v>2023058900043</v>
          </cell>
          <cell r="BP1064">
            <v>65</v>
          </cell>
        </row>
        <row r="1065">
          <cell r="B1065">
            <v>2023058930018</v>
          </cell>
          <cell r="BP1065">
            <v>100</v>
          </cell>
        </row>
        <row r="1066">
          <cell r="B1066">
            <v>2024058930006</v>
          </cell>
          <cell r="BP1066">
            <v>93.6</v>
          </cell>
        </row>
        <row r="1067">
          <cell r="B1067">
            <v>2025058930012</v>
          </cell>
          <cell r="BP1067">
            <v>100</v>
          </cell>
        </row>
        <row r="1068">
          <cell r="B1068">
            <v>20211301010743</v>
          </cell>
          <cell r="BP1068">
            <v>0</v>
          </cell>
        </row>
        <row r="1069">
          <cell r="B1069">
            <v>20201301010644</v>
          </cell>
          <cell r="BP1069">
            <v>44.5</v>
          </cell>
        </row>
        <row r="1070">
          <cell r="B1070">
            <v>20211301012365</v>
          </cell>
          <cell r="BP1070">
            <v>44.5</v>
          </cell>
        </row>
        <row r="1071">
          <cell r="B1071">
            <v>2023058930013</v>
          </cell>
          <cell r="BP1071">
            <v>14.9</v>
          </cell>
        </row>
        <row r="1072">
          <cell r="B1072">
            <v>2025058930007</v>
          </cell>
          <cell r="BP1072">
            <v>100</v>
          </cell>
        </row>
        <row r="1073">
          <cell r="B1073">
            <v>2026058930001</v>
          </cell>
          <cell r="BP1073">
            <v>89</v>
          </cell>
        </row>
        <row r="1074">
          <cell r="B1074">
            <v>2024058930147</v>
          </cell>
          <cell r="BP1074">
            <v>100</v>
          </cell>
        </row>
        <row r="1075">
          <cell r="B1075">
            <v>20201301011394</v>
          </cell>
          <cell r="BP1075">
            <v>40</v>
          </cell>
        </row>
        <row r="1076">
          <cell r="B1076">
            <v>2024058950047</v>
          </cell>
          <cell r="BP1076">
            <v>50</v>
          </cell>
        </row>
        <row r="1077">
          <cell r="B1077">
            <v>2025058950003</v>
          </cell>
          <cell r="BP1077">
            <v>100</v>
          </cell>
        </row>
        <row r="1078">
          <cell r="B1078">
            <v>2025058950004</v>
          </cell>
          <cell r="BP1078">
            <v>94.2</v>
          </cell>
        </row>
        <row r="1079">
          <cell r="B1079">
            <v>2025058950006</v>
          </cell>
          <cell r="BP1079">
            <v>92</v>
          </cell>
        </row>
        <row r="1080">
          <cell r="B1080">
            <v>2020058950013</v>
          </cell>
          <cell r="BP1080">
            <v>0</v>
          </cell>
        </row>
        <row r="1081">
          <cell r="B1081">
            <v>2021058950023</v>
          </cell>
          <cell r="BP1081">
            <v>0</v>
          </cell>
        </row>
        <row r="1082">
          <cell r="B1082">
            <v>2022058950021</v>
          </cell>
          <cell r="BP1082">
            <v>0</v>
          </cell>
        </row>
        <row r="1083">
          <cell r="B1083">
            <v>2022058950023</v>
          </cell>
          <cell r="BP1083">
            <v>0</v>
          </cell>
        </row>
        <row r="1084">
          <cell r="B1084">
            <v>2022058950024</v>
          </cell>
          <cell r="BP1084">
            <v>0</v>
          </cell>
        </row>
        <row r="1085">
          <cell r="B1085">
            <v>20221301010049</v>
          </cell>
          <cell r="BP1085">
            <v>44.5</v>
          </cell>
        </row>
        <row r="1086">
          <cell r="B1086">
            <v>2023005810070</v>
          </cell>
          <cell r="BP1086">
            <v>89</v>
          </cell>
        </row>
        <row r="1087">
          <cell r="B1087" t="str">
            <v>2024M000470004</v>
          </cell>
          <cell r="BP1087">
            <v>100</v>
          </cell>
        </row>
        <row r="1088">
          <cell r="B1088" t="str">
            <v>2025N002550006</v>
          </cell>
          <cell r="BP1088">
            <v>89</v>
          </cell>
        </row>
        <row r="1089">
          <cell r="B1089">
            <v>2013810010014</v>
          </cell>
          <cell r="BP1089">
            <v>0</v>
          </cell>
        </row>
        <row r="1090">
          <cell r="B1090">
            <v>2023005810190</v>
          </cell>
          <cell r="BP1090">
            <v>0</v>
          </cell>
        </row>
        <row r="1091">
          <cell r="B1091">
            <v>2013005810011</v>
          </cell>
          <cell r="BP1091">
            <v>8.5</v>
          </cell>
        </row>
        <row r="1092">
          <cell r="B1092">
            <v>2014005810009</v>
          </cell>
          <cell r="BP1092">
            <v>0</v>
          </cell>
        </row>
        <row r="1093">
          <cell r="B1093">
            <v>2017000070013</v>
          </cell>
          <cell r="BP1093">
            <v>36</v>
          </cell>
        </row>
        <row r="1094">
          <cell r="B1094">
            <v>2017000100025</v>
          </cell>
          <cell r="BP1094">
            <v>75.2</v>
          </cell>
        </row>
        <row r="1095">
          <cell r="B1095">
            <v>2018005810374</v>
          </cell>
          <cell r="BP1095">
            <v>50</v>
          </cell>
        </row>
        <row r="1096">
          <cell r="B1096">
            <v>2020005810196</v>
          </cell>
          <cell r="BP1096">
            <v>50</v>
          </cell>
        </row>
        <row r="1097">
          <cell r="B1097">
            <v>2020005810231</v>
          </cell>
          <cell r="BP1097">
            <v>100</v>
          </cell>
        </row>
        <row r="1098">
          <cell r="B1098">
            <v>2024005810048</v>
          </cell>
          <cell r="BP1098">
            <v>100</v>
          </cell>
        </row>
        <row r="1099">
          <cell r="B1099">
            <v>2024005810056</v>
          </cell>
          <cell r="BP1099">
            <v>44.8</v>
          </cell>
        </row>
        <row r="1100">
          <cell r="B1100">
            <v>2024005810058</v>
          </cell>
          <cell r="BP1100">
            <v>81.2</v>
          </cell>
        </row>
        <row r="1101">
          <cell r="B1101">
            <v>2024005810089</v>
          </cell>
          <cell r="BP1101">
            <v>33</v>
          </cell>
        </row>
        <row r="1102">
          <cell r="B1102">
            <v>2024005810153</v>
          </cell>
          <cell r="BP1102">
            <v>90</v>
          </cell>
        </row>
        <row r="1103">
          <cell r="B1103">
            <v>2024005810173</v>
          </cell>
          <cell r="BP1103">
            <v>100</v>
          </cell>
        </row>
        <row r="1104">
          <cell r="B1104">
            <v>2025000070010</v>
          </cell>
          <cell r="BP1104">
            <v>100</v>
          </cell>
        </row>
        <row r="1105">
          <cell r="B1105">
            <v>2025005810005</v>
          </cell>
          <cell r="BP1105">
            <v>100</v>
          </cell>
        </row>
        <row r="1106">
          <cell r="B1106">
            <v>2025005810006</v>
          </cell>
          <cell r="BP1106">
            <v>90</v>
          </cell>
        </row>
        <row r="1107">
          <cell r="B1107">
            <v>2025005810007</v>
          </cell>
          <cell r="BP1107">
            <v>100</v>
          </cell>
        </row>
        <row r="1108">
          <cell r="B1108">
            <v>2025005810010</v>
          </cell>
          <cell r="BP1108">
            <v>90</v>
          </cell>
        </row>
        <row r="1109">
          <cell r="B1109">
            <v>2025005810016</v>
          </cell>
          <cell r="BP1109">
            <v>88.8</v>
          </cell>
        </row>
        <row r="1110">
          <cell r="B1110">
            <v>2025005810017</v>
          </cell>
          <cell r="BP1110">
            <v>100</v>
          </cell>
        </row>
        <row r="1111">
          <cell r="B1111">
            <v>2025005810020</v>
          </cell>
          <cell r="BP1111">
            <v>0</v>
          </cell>
        </row>
        <row r="1112">
          <cell r="B1112">
            <v>2025005810021</v>
          </cell>
          <cell r="BP1112">
            <v>100</v>
          </cell>
        </row>
        <row r="1113">
          <cell r="B1113">
            <v>2021005810127</v>
          </cell>
          <cell r="BP1113">
            <v>0</v>
          </cell>
        </row>
        <row r="1114">
          <cell r="B1114">
            <v>2023005810018</v>
          </cell>
          <cell r="BP1114">
            <v>60</v>
          </cell>
        </row>
        <row r="1115">
          <cell r="B1115">
            <v>20211301010779</v>
          </cell>
          <cell r="BP1115">
            <v>50</v>
          </cell>
        </row>
        <row r="1116">
          <cell r="B1116">
            <v>2021810010042</v>
          </cell>
          <cell r="BP1116">
            <v>0</v>
          </cell>
        </row>
        <row r="1117">
          <cell r="B1117">
            <v>2023810010022</v>
          </cell>
          <cell r="BP1117">
            <v>31</v>
          </cell>
        </row>
        <row r="1118">
          <cell r="B1118">
            <v>2025810010005</v>
          </cell>
          <cell r="BP1118">
            <v>100</v>
          </cell>
        </row>
        <row r="1119">
          <cell r="B1119">
            <v>2025810010008</v>
          </cell>
          <cell r="BP1119">
            <v>50</v>
          </cell>
        </row>
        <row r="1120">
          <cell r="B1120">
            <v>2025810010018</v>
          </cell>
          <cell r="BP1120">
            <v>42.4</v>
          </cell>
        </row>
        <row r="1121">
          <cell r="B1121">
            <v>2025810010022</v>
          </cell>
          <cell r="BP1121">
            <v>60</v>
          </cell>
        </row>
        <row r="1122">
          <cell r="B1122">
            <v>2025005810018</v>
          </cell>
          <cell r="BP1122">
            <v>0</v>
          </cell>
        </row>
        <row r="1123">
          <cell r="B1123" t="str">
            <v>2025N006210005</v>
          </cell>
          <cell r="BP1123">
            <v>100</v>
          </cell>
        </row>
        <row r="1124">
          <cell r="B1124" t="str">
            <v>2025N001020001</v>
          </cell>
          <cell r="BP1124">
            <v>81.900000000000006</v>
          </cell>
        </row>
        <row r="1125">
          <cell r="B1125" t="str">
            <v>2024N000450001</v>
          </cell>
          <cell r="BP1125">
            <v>48.8</v>
          </cell>
        </row>
        <row r="1126">
          <cell r="B1126">
            <v>2019005810198</v>
          </cell>
          <cell r="BP1126">
            <v>100</v>
          </cell>
        </row>
        <row r="1127">
          <cell r="B1127">
            <v>2024005810178</v>
          </cell>
          <cell r="BP1127">
            <v>27.6</v>
          </cell>
        </row>
        <row r="1128">
          <cell r="B1128">
            <v>2018000100148</v>
          </cell>
          <cell r="BP1128">
            <v>32.200000000000003</v>
          </cell>
        </row>
        <row r="1129">
          <cell r="B1129">
            <v>2024005810181</v>
          </cell>
          <cell r="BP1129">
            <v>60.8</v>
          </cell>
        </row>
        <row r="1130">
          <cell r="B1130">
            <v>2018810010012</v>
          </cell>
          <cell r="BP1130">
            <v>7</v>
          </cell>
        </row>
        <row r="1131">
          <cell r="B1131">
            <v>2019810010050</v>
          </cell>
          <cell r="BP1131">
            <v>9</v>
          </cell>
        </row>
        <row r="1132">
          <cell r="B1132">
            <v>20201301010960</v>
          </cell>
          <cell r="BP1132">
            <v>30.5</v>
          </cell>
        </row>
        <row r="1133">
          <cell r="B1133">
            <v>2021810010049</v>
          </cell>
          <cell r="BP1133">
            <v>0</v>
          </cell>
        </row>
        <row r="1134">
          <cell r="B1134">
            <v>2021810010148</v>
          </cell>
          <cell r="BP1134">
            <v>0</v>
          </cell>
        </row>
        <row r="1135">
          <cell r="B1135">
            <v>2022810010082</v>
          </cell>
          <cell r="BP1135">
            <v>45.6</v>
          </cell>
        </row>
        <row r="1136">
          <cell r="B1136">
            <v>2023810010003</v>
          </cell>
          <cell r="BP1136">
            <v>0</v>
          </cell>
        </row>
        <row r="1137">
          <cell r="B1137">
            <v>2023810010008</v>
          </cell>
          <cell r="BP1137">
            <v>0</v>
          </cell>
        </row>
        <row r="1138">
          <cell r="B1138">
            <v>2023810010029</v>
          </cell>
          <cell r="BP1138">
            <v>46</v>
          </cell>
        </row>
        <row r="1139">
          <cell r="B1139">
            <v>2023810010031</v>
          </cell>
          <cell r="BP1139">
            <v>1</v>
          </cell>
        </row>
        <row r="1140">
          <cell r="B1140">
            <v>2023810010063</v>
          </cell>
          <cell r="BP1140">
            <v>19.5</v>
          </cell>
        </row>
        <row r="1141">
          <cell r="B1141">
            <v>2023810010069</v>
          </cell>
          <cell r="BP1141">
            <v>8</v>
          </cell>
        </row>
        <row r="1142">
          <cell r="B1142">
            <v>2024810010001</v>
          </cell>
          <cell r="BP1142">
            <v>50</v>
          </cell>
        </row>
        <row r="1143">
          <cell r="B1143">
            <v>2024810010055</v>
          </cell>
          <cell r="BP1143">
            <v>32</v>
          </cell>
        </row>
        <row r="1144">
          <cell r="B1144">
            <v>2024810010104</v>
          </cell>
          <cell r="BP1144">
            <v>60</v>
          </cell>
        </row>
        <row r="1145">
          <cell r="B1145">
            <v>2024810010106</v>
          </cell>
          <cell r="BP1145">
            <v>39.799999999999997</v>
          </cell>
        </row>
        <row r="1146">
          <cell r="B1146">
            <v>2024810010107</v>
          </cell>
          <cell r="BP1146">
            <v>60</v>
          </cell>
        </row>
        <row r="1147">
          <cell r="B1147">
            <v>2024810010108</v>
          </cell>
          <cell r="BP1147">
            <v>96.8</v>
          </cell>
        </row>
        <row r="1148">
          <cell r="B1148">
            <v>2024810010109</v>
          </cell>
          <cell r="BP1148">
            <v>100</v>
          </cell>
        </row>
        <row r="1149">
          <cell r="B1149">
            <v>2025810010002</v>
          </cell>
          <cell r="BP1149">
            <v>100</v>
          </cell>
        </row>
        <row r="1150">
          <cell r="B1150">
            <v>2025810010007</v>
          </cell>
          <cell r="BP1150">
            <v>60</v>
          </cell>
        </row>
        <row r="1151">
          <cell r="B1151">
            <v>2025810010011</v>
          </cell>
          <cell r="BP1151">
            <v>100</v>
          </cell>
        </row>
        <row r="1152">
          <cell r="B1152">
            <v>2025810010013</v>
          </cell>
          <cell r="BP1152">
            <v>47.6</v>
          </cell>
        </row>
        <row r="1153">
          <cell r="B1153">
            <v>2025810010014</v>
          </cell>
          <cell r="BP1153">
            <v>100</v>
          </cell>
        </row>
        <row r="1154">
          <cell r="B1154">
            <v>2025810010021</v>
          </cell>
          <cell r="BP1154">
            <v>100</v>
          </cell>
        </row>
        <row r="1155">
          <cell r="B1155">
            <v>2025810010026</v>
          </cell>
          <cell r="BP1155">
            <v>100</v>
          </cell>
        </row>
        <row r="1156">
          <cell r="B1156">
            <v>2025810010027</v>
          </cell>
          <cell r="BP1156">
            <v>0</v>
          </cell>
        </row>
        <row r="1157">
          <cell r="B1157">
            <v>2024005810179</v>
          </cell>
          <cell r="BP1157">
            <v>100</v>
          </cell>
        </row>
        <row r="1158">
          <cell r="B1158">
            <v>2024005810180</v>
          </cell>
          <cell r="BP1158">
            <v>100</v>
          </cell>
        </row>
        <row r="1159">
          <cell r="B1159">
            <v>2024005810172</v>
          </cell>
          <cell r="BP1159">
            <v>100</v>
          </cell>
        </row>
        <row r="1160">
          <cell r="B1160">
            <v>2023005810203</v>
          </cell>
          <cell r="BP1160">
            <v>50</v>
          </cell>
        </row>
        <row r="1161">
          <cell r="B1161">
            <v>2021005810028</v>
          </cell>
          <cell r="BP1161">
            <v>0</v>
          </cell>
        </row>
        <row r="1162">
          <cell r="B1162">
            <v>2019000070044</v>
          </cell>
          <cell r="BP1162">
            <v>0</v>
          </cell>
        </row>
        <row r="1163">
          <cell r="B1163">
            <v>2021000100164</v>
          </cell>
          <cell r="BP1163">
            <v>42.8</v>
          </cell>
        </row>
        <row r="1164">
          <cell r="B1164">
            <v>2022000100005</v>
          </cell>
          <cell r="BP1164">
            <v>94.8</v>
          </cell>
        </row>
        <row r="1165">
          <cell r="B1165">
            <v>2022000100062</v>
          </cell>
          <cell r="BP1165">
            <v>100</v>
          </cell>
        </row>
        <row r="1166">
          <cell r="B1166">
            <v>2021000100001</v>
          </cell>
          <cell r="BP1166">
            <v>93.6</v>
          </cell>
        </row>
        <row r="1167">
          <cell r="B1167">
            <v>2019000100043</v>
          </cell>
          <cell r="BP1167">
            <v>67.2</v>
          </cell>
        </row>
        <row r="1168">
          <cell r="B1168">
            <v>2020000100465</v>
          </cell>
          <cell r="BP1168">
            <v>0</v>
          </cell>
        </row>
        <row r="1169">
          <cell r="B1169">
            <v>2020000100589</v>
          </cell>
          <cell r="BP1169">
            <v>100</v>
          </cell>
        </row>
        <row r="1170">
          <cell r="B1170">
            <v>2021000100113</v>
          </cell>
          <cell r="BP1170">
            <v>100</v>
          </cell>
        </row>
        <row r="1171">
          <cell r="B1171">
            <v>2023000100034</v>
          </cell>
          <cell r="BP1171">
            <v>100</v>
          </cell>
        </row>
        <row r="1172">
          <cell r="B1172">
            <v>20201301010549</v>
          </cell>
          <cell r="BP1172">
            <v>8</v>
          </cell>
        </row>
        <row r="1173">
          <cell r="B1173">
            <v>20201301010988</v>
          </cell>
          <cell r="BP1173">
            <v>80.099999999999994</v>
          </cell>
        </row>
        <row r="1174">
          <cell r="B1174">
            <v>2021810650079</v>
          </cell>
          <cell r="BP1174">
            <v>16.5</v>
          </cell>
        </row>
        <row r="1175">
          <cell r="B1175">
            <v>2023810650031</v>
          </cell>
          <cell r="BP1175">
            <v>26.7</v>
          </cell>
        </row>
        <row r="1176">
          <cell r="B1176">
            <v>2024810650097</v>
          </cell>
          <cell r="BP1176">
            <v>44.5</v>
          </cell>
        </row>
        <row r="1177">
          <cell r="B1177">
            <v>2024810650099</v>
          </cell>
          <cell r="BP1177">
            <v>43.1</v>
          </cell>
        </row>
        <row r="1178">
          <cell r="B1178">
            <v>2024810650102</v>
          </cell>
          <cell r="BP1178">
            <v>12</v>
          </cell>
        </row>
        <row r="1179">
          <cell r="B1179">
            <v>2024810650104</v>
          </cell>
          <cell r="BP1179">
            <v>0</v>
          </cell>
        </row>
        <row r="1180">
          <cell r="B1180">
            <v>2025810650001</v>
          </cell>
          <cell r="BP1180">
            <v>29.4</v>
          </cell>
        </row>
        <row r="1181">
          <cell r="B1181">
            <v>2025810650003</v>
          </cell>
          <cell r="BP1181">
            <v>36.200000000000003</v>
          </cell>
        </row>
        <row r="1182">
          <cell r="B1182">
            <v>2025810650004</v>
          </cell>
          <cell r="BP1182">
            <v>0</v>
          </cell>
        </row>
        <row r="1183">
          <cell r="B1183">
            <v>2025810650005</v>
          </cell>
          <cell r="BP1183">
            <v>76.5</v>
          </cell>
        </row>
        <row r="1184">
          <cell r="B1184">
            <v>2025810650006</v>
          </cell>
          <cell r="BP1184">
            <v>77.3</v>
          </cell>
        </row>
        <row r="1185">
          <cell r="B1185">
            <v>2025810650007</v>
          </cell>
          <cell r="BP1185">
            <v>63</v>
          </cell>
        </row>
        <row r="1186">
          <cell r="B1186">
            <v>2025810650008</v>
          </cell>
          <cell r="BP1186">
            <v>86.2</v>
          </cell>
        </row>
        <row r="1187">
          <cell r="B1187">
            <v>2025810650011</v>
          </cell>
          <cell r="BP1187">
            <v>72.3</v>
          </cell>
        </row>
        <row r="1188">
          <cell r="B1188">
            <v>2025810650012</v>
          </cell>
          <cell r="BP1188">
            <v>0</v>
          </cell>
        </row>
        <row r="1189">
          <cell r="B1189">
            <v>2025810650014</v>
          </cell>
          <cell r="BP1189">
            <v>22.4</v>
          </cell>
        </row>
        <row r="1190">
          <cell r="B1190">
            <v>2025810650015</v>
          </cell>
          <cell r="BP1190">
            <v>25.2</v>
          </cell>
        </row>
        <row r="1191">
          <cell r="B1191">
            <v>2025810650016</v>
          </cell>
          <cell r="BP1191">
            <v>53.4</v>
          </cell>
        </row>
        <row r="1192">
          <cell r="B1192">
            <v>2025810650017</v>
          </cell>
          <cell r="BP1192">
            <v>0</v>
          </cell>
        </row>
        <row r="1193">
          <cell r="B1193">
            <v>2025810650020</v>
          </cell>
          <cell r="BP1193">
            <v>0</v>
          </cell>
        </row>
        <row r="1194">
          <cell r="B1194">
            <v>2025810650002</v>
          </cell>
          <cell r="BP1194">
            <v>0</v>
          </cell>
        </row>
        <row r="1195">
          <cell r="B1195">
            <v>20241301010496</v>
          </cell>
          <cell r="BP1195">
            <v>0</v>
          </cell>
        </row>
        <row r="1196">
          <cell r="B1196">
            <v>20241301010010</v>
          </cell>
          <cell r="BP1196">
            <v>60</v>
          </cell>
        </row>
        <row r="1197">
          <cell r="B1197" t="str">
            <v>2025N006210002</v>
          </cell>
          <cell r="BP1197">
            <v>26.7</v>
          </cell>
        </row>
        <row r="1198">
          <cell r="B1198">
            <v>2020810650025</v>
          </cell>
          <cell r="BP1198">
            <v>0</v>
          </cell>
        </row>
        <row r="1199">
          <cell r="B1199">
            <v>2024812200074</v>
          </cell>
          <cell r="BP1199">
            <v>26.7</v>
          </cell>
        </row>
        <row r="1200">
          <cell r="B1200">
            <v>2024812200129</v>
          </cell>
          <cell r="BP1200">
            <v>0</v>
          </cell>
        </row>
        <row r="1201">
          <cell r="B1201">
            <v>2025812200002</v>
          </cell>
          <cell r="BP1201">
            <v>100</v>
          </cell>
        </row>
        <row r="1202">
          <cell r="B1202">
            <v>2025812200003</v>
          </cell>
          <cell r="BP1202">
            <v>57.7</v>
          </cell>
        </row>
        <row r="1203">
          <cell r="B1203">
            <v>2025813000004</v>
          </cell>
          <cell r="BP1203">
            <v>86</v>
          </cell>
        </row>
        <row r="1204">
          <cell r="B1204">
            <v>2025813000006</v>
          </cell>
          <cell r="BP1204">
            <v>100</v>
          </cell>
        </row>
        <row r="1205">
          <cell r="B1205">
            <v>20241301010113</v>
          </cell>
          <cell r="BP1205">
            <v>40</v>
          </cell>
        </row>
        <row r="1206">
          <cell r="B1206">
            <v>2022815910063</v>
          </cell>
          <cell r="BP1206">
            <v>0</v>
          </cell>
        </row>
        <row r="1207">
          <cell r="B1207">
            <v>2024815910100</v>
          </cell>
          <cell r="BP1207">
            <v>0</v>
          </cell>
        </row>
        <row r="1208">
          <cell r="B1208">
            <v>20201301010807</v>
          </cell>
          <cell r="BP1208">
            <v>0</v>
          </cell>
        </row>
        <row r="1209">
          <cell r="B1209">
            <v>20241301010023</v>
          </cell>
          <cell r="BP1209">
            <v>90</v>
          </cell>
        </row>
        <row r="1210">
          <cell r="B1210">
            <v>2025817360001</v>
          </cell>
          <cell r="BP1210">
            <v>40</v>
          </cell>
        </row>
        <row r="1211">
          <cell r="B1211">
            <v>2025817360004</v>
          </cell>
          <cell r="BP1211">
            <v>100</v>
          </cell>
        </row>
        <row r="1212">
          <cell r="B1212">
            <v>2025817360005</v>
          </cell>
          <cell r="BP1212">
            <v>100</v>
          </cell>
        </row>
        <row r="1213">
          <cell r="B1213">
            <v>20241301010015</v>
          </cell>
          <cell r="BP1213">
            <v>100</v>
          </cell>
        </row>
        <row r="1214">
          <cell r="B1214">
            <v>20241301010317</v>
          </cell>
          <cell r="BP1214">
            <v>50</v>
          </cell>
        </row>
        <row r="1215">
          <cell r="B1215">
            <v>2024817940051</v>
          </cell>
          <cell r="BP1215">
            <v>78</v>
          </cell>
        </row>
        <row r="1216">
          <cell r="B1216">
            <v>2025817940004</v>
          </cell>
          <cell r="BP1216">
            <v>100</v>
          </cell>
        </row>
        <row r="1217">
          <cell r="B1217">
            <v>20251301010248</v>
          </cell>
          <cell r="BP1217">
            <v>35.6</v>
          </cell>
        </row>
        <row r="1218">
          <cell r="B1218">
            <v>2024000100057</v>
          </cell>
          <cell r="BP1218">
            <v>83.7</v>
          </cell>
        </row>
        <row r="1219">
          <cell r="B1219">
            <v>2013000100214</v>
          </cell>
          <cell r="BP1219">
            <v>100</v>
          </cell>
        </row>
        <row r="1220">
          <cell r="B1220">
            <v>2015000100055</v>
          </cell>
          <cell r="BP1220">
            <v>89</v>
          </cell>
        </row>
        <row r="1221">
          <cell r="B1221">
            <v>2016000020019</v>
          </cell>
          <cell r="BP1221">
            <v>49</v>
          </cell>
        </row>
        <row r="1222">
          <cell r="B1222">
            <v>2018000020044</v>
          </cell>
          <cell r="BP1222">
            <v>0</v>
          </cell>
        </row>
        <row r="1223">
          <cell r="B1223">
            <v>2019000020007</v>
          </cell>
          <cell r="BP1223">
            <v>10.8</v>
          </cell>
        </row>
        <row r="1224">
          <cell r="B1224">
            <v>2020000020061</v>
          </cell>
          <cell r="BP1224">
            <v>34.299999999999997</v>
          </cell>
        </row>
        <row r="1225">
          <cell r="B1225">
            <v>2020000020067</v>
          </cell>
          <cell r="BP1225">
            <v>45</v>
          </cell>
        </row>
        <row r="1226">
          <cell r="B1226">
            <v>2021000100136</v>
          </cell>
          <cell r="BP1226">
            <v>4.5</v>
          </cell>
        </row>
        <row r="1227">
          <cell r="B1227">
            <v>2023002080020</v>
          </cell>
          <cell r="BP1227">
            <v>93.6</v>
          </cell>
        </row>
        <row r="1228">
          <cell r="B1228">
            <v>2024002080008</v>
          </cell>
          <cell r="BP1228">
            <v>100</v>
          </cell>
        </row>
        <row r="1229">
          <cell r="B1229">
            <v>2024002080057</v>
          </cell>
          <cell r="BP1229">
            <v>50</v>
          </cell>
        </row>
        <row r="1230">
          <cell r="B1230">
            <v>2024002080067</v>
          </cell>
          <cell r="BP1230">
            <v>100</v>
          </cell>
        </row>
        <row r="1231">
          <cell r="B1231">
            <v>2025002080001</v>
          </cell>
          <cell r="BP1231">
            <v>100</v>
          </cell>
        </row>
        <row r="1232">
          <cell r="B1232">
            <v>2025002080004</v>
          </cell>
          <cell r="BP1232">
            <v>100</v>
          </cell>
        </row>
        <row r="1233">
          <cell r="B1233">
            <v>2025002080005</v>
          </cell>
          <cell r="BP1233">
            <v>100</v>
          </cell>
        </row>
        <row r="1234">
          <cell r="B1234">
            <v>2025002080007</v>
          </cell>
          <cell r="BP1234">
            <v>100</v>
          </cell>
        </row>
        <row r="1235">
          <cell r="B1235">
            <v>2025002080008</v>
          </cell>
          <cell r="BP1235">
            <v>100</v>
          </cell>
        </row>
        <row r="1236">
          <cell r="B1236">
            <v>2021000020093</v>
          </cell>
          <cell r="BP1236">
            <v>100</v>
          </cell>
        </row>
        <row r="1237">
          <cell r="B1237">
            <v>2021000100538</v>
          </cell>
          <cell r="BP1237">
            <v>16.8</v>
          </cell>
        </row>
        <row r="1238">
          <cell r="B1238">
            <v>2020000100287</v>
          </cell>
          <cell r="BP1238">
            <v>90</v>
          </cell>
        </row>
        <row r="1239">
          <cell r="B1239">
            <v>2020000100406</v>
          </cell>
          <cell r="BP1239">
            <v>100</v>
          </cell>
        </row>
        <row r="1240">
          <cell r="B1240">
            <v>2020000100449</v>
          </cell>
          <cell r="BP1240">
            <v>100</v>
          </cell>
        </row>
        <row r="1241">
          <cell r="B1241">
            <v>2020000100531</v>
          </cell>
          <cell r="BP1241">
            <v>95.6</v>
          </cell>
        </row>
        <row r="1242">
          <cell r="B1242">
            <v>2025002080003</v>
          </cell>
          <cell r="BP1242">
            <v>100</v>
          </cell>
        </row>
        <row r="1243">
          <cell r="B1243">
            <v>2025002080009</v>
          </cell>
          <cell r="BP1243">
            <v>40</v>
          </cell>
        </row>
        <row r="1244">
          <cell r="B1244">
            <v>2025002080011</v>
          </cell>
          <cell r="BP1244">
            <v>64.400000000000006</v>
          </cell>
        </row>
        <row r="1245">
          <cell r="B1245">
            <v>2025002080006</v>
          </cell>
          <cell r="BP1245">
            <v>100</v>
          </cell>
        </row>
        <row r="1246">
          <cell r="B1246">
            <v>2025002080002</v>
          </cell>
          <cell r="BP1246">
            <v>100</v>
          </cell>
        </row>
        <row r="1247">
          <cell r="B1247">
            <v>2025002080013</v>
          </cell>
          <cell r="BP1247">
            <v>60</v>
          </cell>
        </row>
        <row r="1248">
          <cell r="B1248">
            <v>2020000100357</v>
          </cell>
          <cell r="BP1248">
            <v>90</v>
          </cell>
        </row>
        <row r="1249">
          <cell r="B1249">
            <v>2020000100382</v>
          </cell>
          <cell r="BP1249">
            <v>56</v>
          </cell>
        </row>
        <row r="1250">
          <cell r="B1250">
            <v>2022000100083</v>
          </cell>
          <cell r="BP1250">
            <v>100</v>
          </cell>
        </row>
        <row r="1251">
          <cell r="B1251">
            <v>2019000100006</v>
          </cell>
          <cell r="BP1251">
            <v>56</v>
          </cell>
        </row>
        <row r="1252">
          <cell r="B1252">
            <v>2020000100432</v>
          </cell>
          <cell r="BP1252">
            <v>100</v>
          </cell>
        </row>
        <row r="1253">
          <cell r="B1253">
            <v>2021000100016</v>
          </cell>
          <cell r="BP1253">
            <v>0</v>
          </cell>
        </row>
        <row r="1254">
          <cell r="B1254">
            <v>2021000100011</v>
          </cell>
          <cell r="BP1254">
            <v>96.4</v>
          </cell>
        </row>
        <row r="1255">
          <cell r="B1255">
            <v>2020000100436</v>
          </cell>
          <cell r="BP1255">
            <v>96.4</v>
          </cell>
        </row>
        <row r="1256">
          <cell r="B1256">
            <v>2025080780001</v>
          </cell>
          <cell r="BP1256">
            <v>84.8</v>
          </cell>
        </row>
        <row r="1257">
          <cell r="B1257">
            <v>2020080010014</v>
          </cell>
          <cell r="BP1257">
            <v>0</v>
          </cell>
        </row>
        <row r="1258">
          <cell r="B1258">
            <v>2021080010178</v>
          </cell>
          <cell r="BP1258">
            <v>89</v>
          </cell>
        </row>
        <row r="1259">
          <cell r="B1259">
            <v>2025081370004</v>
          </cell>
          <cell r="BP1259">
            <v>100</v>
          </cell>
        </row>
        <row r="1260">
          <cell r="B1260">
            <v>2026081410001</v>
          </cell>
          <cell r="BP1260">
            <v>100</v>
          </cell>
        </row>
        <row r="1261">
          <cell r="B1261">
            <v>2026081410002</v>
          </cell>
          <cell r="BP1261">
            <v>100</v>
          </cell>
        </row>
        <row r="1262">
          <cell r="B1262">
            <v>2026081410003</v>
          </cell>
          <cell r="BP1262">
            <v>100</v>
          </cell>
        </row>
        <row r="1263">
          <cell r="B1263">
            <v>2025081410001</v>
          </cell>
          <cell r="BP1263">
            <v>100</v>
          </cell>
        </row>
        <row r="1264">
          <cell r="B1264" t="str">
            <v>2024I00010111</v>
          </cell>
          <cell r="BP1264">
            <v>90</v>
          </cell>
        </row>
        <row r="1265">
          <cell r="B1265">
            <v>2024082960069</v>
          </cell>
          <cell r="BP1265">
            <v>0</v>
          </cell>
        </row>
        <row r="1266">
          <cell r="B1266">
            <v>2025082960001</v>
          </cell>
          <cell r="BP1266">
            <v>0</v>
          </cell>
        </row>
        <row r="1267">
          <cell r="B1267" t="str">
            <v>2025Rrom010005</v>
          </cell>
          <cell r="BP1267">
            <v>100</v>
          </cell>
        </row>
        <row r="1268">
          <cell r="B1268">
            <v>2025084210001</v>
          </cell>
          <cell r="BP1268">
            <v>0</v>
          </cell>
        </row>
        <row r="1269">
          <cell r="B1269">
            <v>2023084360037</v>
          </cell>
          <cell r="BP1269">
            <v>0</v>
          </cell>
        </row>
        <row r="1270">
          <cell r="B1270">
            <v>2024084360020</v>
          </cell>
          <cell r="BP1270">
            <v>0</v>
          </cell>
        </row>
        <row r="1271">
          <cell r="B1271">
            <v>2025084360001</v>
          </cell>
          <cell r="BP1271">
            <v>99.2</v>
          </cell>
        </row>
        <row r="1272">
          <cell r="B1272">
            <v>2025084360002</v>
          </cell>
          <cell r="BP1272">
            <v>100</v>
          </cell>
        </row>
        <row r="1273">
          <cell r="B1273">
            <v>2021085200035</v>
          </cell>
          <cell r="BP1273">
            <v>0</v>
          </cell>
        </row>
        <row r="1274">
          <cell r="B1274">
            <v>2024085200094</v>
          </cell>
          <cell r="BP1274">
            <v>0</v>
          </cell>
        </row>
        <row r="1275">
          <cell r="B1275">
            <v>2025085200001</v>
          </cell>
          <cell r="BP1275">
            <v>48.1</v>
          </cell>
        </row>
        <row r="1276">
          <cell r="B1276">
            <v>2024085580028</v>
          </cell>
          <cell r="BP1276">
            <v>0</v>
          </cell>
        </row>
        <row r="1277">
          <cell r="B1277">
            <v>2024085580029</v>
          </cell>
          <cell r="BP1277">
            <v>17.8</v>
          </cell>
        </row>
        <row r="1278">
          <cell r="B1278">
            <v>2025085580001</v>
          </cell>
          <cell r="BP1278">
            <v>33</v>
          </cell>
        </row>
        <row r="1279">
          <cell r="B1279">
            <v>2025085600001</v>
          </cell>
          <cell r="BP1279">
            <v>0</v>
          </cell>
        </row>
        <row r="1280">
          <cell r="B1280">
            <v>2013002080013</v>
          </cell>
          <cell r="BP1280">
            <v>0</v>
          </cell>
        </row>
        <row r="1281">
          <cell r="B1281">
            <v>2025086060002</v>
          </cell>
          <cell r="BP1281">
            <v>100</v>
          </cell>
        </row>
        <row r="1282">
          <cell r="B1282">
            <v>2026086340001</v>
          </cell>
          <cell r="BP1282">
            <v>76</v>
          </cell>
        </row>
        <row r="1283">
          <cell r="B1283">
            <v>2022086380058</v>
          </cell>
          <cell r="BP1283">
            <v>0</v>
          </cell>
        </row>
        <row r="1284">
          <cell r="B1284">
            <v>2023086380119</v>
          </cell>
          <cell r="BP1284">
            <v>0</v>
          </cell>
        </row>
        <row r="1285">
          <cell r="B1285">
            <v>2025086380003</v>
          </cell>
          <cell r="BP1285">
            <v>0</v>
          </cell>
        </row>
        <row r="1286">
          <cell r="B1286">
            <v>2025086380005</v>
          </cell>
          <cell r="BP1286">
            <v>0</v>
          </cell>
        </row>
        <row r="1287">
          <cell r="B1287">
            <v>2025086380008</v>
          </cell>
          <cell r="BP1287">
            <v>0</v>
          </cell>
        </row>
        <row r="1288">
          <cell r="B1288">
            <v>2025086380013</v>
          </cell>
          <cell r="BP1288">
            <v>0</v>
          </cell>
        </row>
        <row r="1289">
          <cell r="B1289">
            <v>2026086380001</v>
          </cell>
          <cell r="BP1289">
            <v>35.6</v>
          </cell>
        </row>
        <row r="1290">
          <cell r="B1290">
            <v>2026086380003</v>
          </cell>
          <cell r="BP1290">
            <v>40</v>
          </cell>
        </row>
        <row r="1291">
          <cell r="B1291">
            <v>2025086380002</v>
          </cell>
          <cell r="BP1291">
            <v>100</v>
          </cell>
        </row>
        <row r="1292">
          <cell r="B1292">
            <v>2026086380002</v>
          </cell>
          <cell r="BP1292">
            <v>20</v>
          </cell>
        </row>
        <row r="1293">
          <cell r="B1293">
            <v>2025086750001</v>
          </cell>
          <cell r="BP1293">
            <v>100</v>
          </cell>
        </row>
        <row r="1294">
          <cell r="B1294">
            <v>2026086750001</v>
          </cell>
          <cell r="BP1294">
            <v>75</v>
          </cell>
        </row>
        <row r="1295">
          <cell r="B1295">
            <v>2025086850001</v>
          </cell>
          <cell r="BP1295">
            <v>53.4</v>
          </cell>
        </row>
        <row r="1296">
          <cell r="B1296">
            <v>2025086850002</v>
          </cell>
          <cell r="BP1296">
            <v>19.3</v>
          </cell>
        </row>
        <row r="1297">
          <cell r="B1297">
            <v>2025087700001</v>
          </cell>
          <cell r="BP1297">
            <v>100</v>
          </cell>
        </row>
        <row r="1298">
          <cell r="B1298">
            <v>2025087700002</v>
          </cell>
          <cell r="BP1298">
            <v>60</v>
          </cell>
        </row>
        <row r="1299">
          <cell r="B1299">
            <v>2025088320001</v>
          </cell>
          <cell r="BP1299">
            <v>0</v>
          </cell>
        </row>
        <row r="1300">
          <cell r="B1300">
            <v>2025088320002</v>
          </cell>
          <cell r="BP1300">
            <v>100</v>
          </cell>
        </row>
        <row r="1301">
          <cell r="B1301">
            <v>2026088320001</v>
          </cell>
          <cell r="BP1301">
            <v>40</v>
          </cell>
        </row>
        <row r="1302">
          <cell r="B1302">
            <v>2025088320003</v>
          </cell>
          <cell r="BP1302">
            <v>60</v>
          </cell>
        </row>
        <row r="1303">
          <cell r="B1303">
            <v>2013000100210</v>
          </cell>
          <cell r="BP1303">
            <v>100</v>
          </cell>
        </row>
        <row r="1304">
          <cell r="B1304">
            <v>2021000100298</v>
          </cell>
          <cell r="BP1304">
            <v>28.6</v>
          </cell>
        </row>
        <row r="1305">
          <cell r="B1305">
            <v>2021000100397</v>
          </cell>
          <cell r="BP1305">
            <v>50</v>
          </cell>
        </row>
        <row r="1306">
          <cell r="B1306">
            <v>2021011010001</v>
          </cell>
          <cell r="BP1306">
            <v>87.6</v>
          </cell>
        </row>
        <row r="1307">
          <cell r="B1307">
            <v>2021011010005</v>
          </cell>
          <cell r="BP1307">
            <v>100</v>
          </cell>
        </row>
        <row r="1308">
          <cell r="B1308">
            <v>2023011010002</v>
          </cell>
          <cell r="BP1308">
            <v>93.6</v>
          </cell>
        </row>
        <row r="1309">
          <cell r="B1309">
            <v>2024000050020</v>
          </cell>
          <cell r="BP1309">
            <v>100</v>
          </cell>
        </row>
        <row r="1310">
          <cell r="B1310">
            <v>2024000100090</v>
          </cell>
          <cell r="BP1310">
            <v>64.8</v>
          </cell>
        </row>
        <row r="1311">
          <cell r="B1311">
            <v>2012000050008</v>
          </cell>
          <cell r="BP1311">
            <v>18</v>
          </cell>
        </row>
        <row r="1312">
          <cell r="B1312">
            <v>2016000100037</v>
          </cell>
          <cell r="BP1312">
            <v>34.5</v>
          </cell>
        </row>
        <row r="1313">
          <cell r="B1313">
            <v>2018000050061</v>
          </cell>
          <cell r="BP1313">
            <v>49</v>
          </cell>
        </row>
        <row r="1314">
          <cell r="B1314">
            <v>2019000050067</v>
          </cell>
          <cell r="BP1314">
            <v>88.4</v>
          </cell>
        </row>
        <row r="1315">
          <cell r="B1315">
            <v>2021000050015</v>
          </cell>
          <cell r="BP1315">
            <v>100</v>
          </cell>
        </row>
        <row r="1316">
          <cell r="B1316">
            <v>2021000050016</v>
          </cell>
          <cell r="BP1316">
            <v>93.6</v>
          </cell>
        </row>
        <row r="1317">
          <cell r="B1317">
            <v>2021000050017</v>
          </cell>
          <cell r="BP1317">
            <v>100</v>
          </cell>
        </row>
        <row r="1318">
          <cell r="B1318">
            <v>2023011010001</v>
          </cell>
          <cell r="BP1318">
            <v>92</v>
          </cell>
        </row>
        <row r="1319">
          <cell r="B1319">
            <v>2025011010001</v>
          </cell>
          <cell r="BP1319">
            <v>40</v>
          </cell>
        </row>
        <row r="1320">
          <cell r="B1320">
            <v>2023011010005</v>
          </cell>
          <cell r="BP1320">
            <v>63.6</v>
          </cell>
        </row>
        <row r="1321">
          <cell r="B1321">
            <v>2023000050005</v>
          </cell>
          <cell r="BP1321">
            <v>100</v>
          </cell>
        </row>
        <row r="1322">
          <cell r="B1322">
            <v>2020000100356</v>
          </cell>
          <cell r="BP1322">
            <v>0</v>
          </cell>
        </row>
        <row r="1323">
          <cell r="B1323">
            <v>2020000100358</v>
          </cell>
          <cell r="BP1323">
            <v>25</v>
          </cell>
        </row>
        <row r="1324">
          <cell r="B1324">
            <v>2020000100360</v>
          </cell>
          <cell r="BP1324">
            <v>100</v>
          </cell>
        </row>
        <row r="1325">
          <cell r="B1325">
            <v>2020000100363</v>
          </cell>
          <cell r="BP1325">
            <v>100</v>
          </cell>
        </row>
        <row r="1326">
          <cell r="B1326">
            <v>2018000050020</v>
          </cell>
          <cell r="BP1326">
            <v>91.2</v>
          </cell>
        </row>
        <row r="1327">
          <cell r="B1327">
            <v>2020000050041</v>
          </cell>
          <cell r="BP1327">
            <v>100</v>
          </cell>
        </row>
        <row r="1328">
          <cell r="B1328">
            <v>2020000100371</v>
          </cell>
          <cell r="BP1328">
            <v>60</v>
          </cell>
        </row>
        <row r="1329">
          <cell r="B1329">
            <v>2020000100128</v>
          </cell>
          <cell r="BP1329">
            <v>0</v>
          </cell>
        </row>
        <row r="1330">
          <cell r="B1330">
            <v>2020000100347</v>
          </cell>
          <cell r="BP1330">
            <v>45.5</v>
          </cell>
        </row>
        <row r="1331">
          <cell r="B1331">
            <v>2020000100469</v>
          </cell>
          <cell r="BP1331">
            <v>100</v>
          </cell>
        </row>
        <row r="1332">
          <cell r="B1332">
            <v>2021000100275</v>
          </cell>
          <cell r="BP1332">
            <v>87</v>
          </cell>
        </row>
        <row r="1333">
          <cell r="B1333">
            <v>2025130060001</v>
          </cell>
          <cell r="BP1333">
            <v>0</v>
          </cell>
        </row>
        <row r="1334">
          <cell r="B1334">
            <v>2025130060002</v>
          </cell>
          <cell r="BP1334">
            <v>0</v>
          </cell>
        </row>
        <row r="1335">
          <cell r="B1335">
            <v>2025130060003</v>
          </cell>
          <cell r="BP1335">
            <v>91.2</v>
          </cell>
        </row>
        <row r="1336">
          <cell r="B1336">
            <v>2026130060003</v>
          </cell>
          <cell r="BP1336">
            <v>100</v>
          </cell>
        </row>
        <row r="1337">
          <cell r="B1337">
            <v>2024130060035</v>
          </cell>
          <cell r="BP1337">
            <v>0</v>
          </cell>
        </row>
        <row r="1338">
          <cell r="B1338">
            <v>2025130300003</v>
          </cell>
          <cell r="BP1338">
            <v>53</v>
          </cell>
        </row>
        <row r="1339">
          <cell r="B1339">
            <v>2024130300012</v>
          </cell>
          <cell r="BP1339">
            <v>0</v>
          </cell>
        </row>
        <row r="1340">
          <cell r="B1340">
            <v>20201301010569</v>
          </cell>
          <cell r="BP1340">
            <v>73</v>
          </cell>
        </row>
        <row r="1341">
          <cell r="B1341">
            <v>20241301010175</v>
          </cell>
          <cell r="BP1341">
            <v>100</v>
          </cell>
        </row>
        <row r="1342">
          <cell r="B1342">
            <v>2023130520012</v>
          </cell>
          <cell r="BP1342">
            <v>0</v>
          </cell>
        </row>
        <row r="1343">
          <cell r="B1343">
            <v>2025130520002</v>
          </cell>
          <cell r="BP1343">
            <v>94.4</v>
          </cell>
        </row>
        <row r="1344">
          <cell r="B1344">
            <v>2026130520001</v>
          </cell>
          <cell r="BP1344">
            <v>92</v>
          </cell>
        </row>
        <row r="1345">
          <cell r="B1345">
            <v>2026130620001</v>
          </cell>
          <cell r="BP1345">
            <v>35.6</v>
          </cell>
        </row>
        <row r="1346">
          <cell r="B1346">
            <v>2024002130242</v>
          </cell>
          <cell r="BP1346">
            <v>60</v>
          </cell>
        </row>
        <row r="1347">
          <cell r="B1347">
            <v>2024002130275</v>
          </cell>
          <cell r="BP1347">
            <v>100</v>
          </cell>
        </row>
        <row r="1348">
          <cell r="B1348" t="str">
            <v>2024N001870002</v>
          </cell>
          <cell r="BP1348">
            <v>89</v>
          </cell>
        </row>
        <row r="1349">
          <cell r="B1349">
            <v>2013000100158</v>
          </cell>
          <cell r="BP1349">
            <v>100</v>
          </cell>
        </row>
        <row r="1350">
          <cell r="B1350">
            <v>2015000020031</v>
          </cell>
          <cell r="BP1350">
            <v>19.5</v>
          </cell>
        </row>
        <row r="1351">
          <cell r="B1351">
            <v>2017000100108</v>
          </cell>
          <cell r="BP1351">
            <v>100</v>
          </cell>
        </row>
        <row r="1352">
          <cell r="B1352">
            <v>2019002130087</v>
          </cell>
          <cell r="BP1352">
            <v>100</v>
          </cell>
        </row>
        <row r="1353">
          <cell r="B1353">
            <v>20201301011188</v>
          </cell>
          <cell r="BP1353">
            <v>100</v>
          </cell>
        </row>
        <row r="1354">
          <cell r="B1354">
            <v>2021002130188</v>
          </cell>
          <cell r="BP1354">
            <v>90</v>
          </cell>
        </row>
        <row r="1355">
          <cell r="B1355">
            <v>2023002130131</v>
          </cell>
          <cell r="BP1355">
            <v>0</v>
          </cell>
        </row>
        <row r="1356">
          <cell r="B1356">
            <v>2023002130142</v>
          </cell>
          <cell r="BP1356">
            <v>100</v>
          </cell>
        </row>
        <row r="1357">
          <cell r="B1357" t="str">
            <v>2024N002060001</v>
          </cell>
          <cell r="BP1357">
            <v>99.2</v>
          </cell>
        </row>
        <row r="1358">
          <cell r="B1358">
            <v>2024000020014</v>
          </cell>
          <cell r="BP1358">
            <v>100</v>
          </cell>
        </row>
        <row r="1359">
          <cell r="B1359">
            <v>2024000020019</v>
          </cell>
          <cell r="BP1359">
            <v>100</v>
          </cell>
        </row>
        <row r="1360">
          <cell r="B1360">
            <v>2024000020031</v>
          </cell>
          <cell r="BP1360">
            <v>100</v>
          </cell>
        </row>
        <row r="1361">
          <cell r="B1361">
            <v>2024002130101</v>
          </cell>
          <cell r="BP1361">
            <v>100</v>
          </cell>
        </row>
        <row r="1362">
          <cell r="B1362">
            <v>2024134680003</v>
          </cell>
          <cell r="BP1362">
            <v>100</v>
          </cell>
        </row>
        <row r="1363">
          <cell r="B1363">
            <v>2025002130004</v>
          </cell>
          <cell r="BP1363">
            <v>100</v>
          </cell>
        </row>
        <row r="1364">
          <cell r="B1364">
            <v>2025002130017</v>
          </cell>
          <cell r="BP1364">
            <v>90.2</v>
          </cell>
        </row>
        <row r="1365">
          <cell r="B1365">
            <v>2025002130023</v>
          </cell>
          <cell r="BP1365">
            <v>100</v>
          </cell>
        </row>
        <row r="1366">
          <cell r="B1366">
            <v>2024002130251</v>
          </cell>
          <cell r="BP1366">
            <v>33.5</v>
          </cell>
        </row>
        <row r="1367">
          <cell r="B1367">
            <v>2024002130265</v>
          </cell>
          <cell r="BP1367">
            <v>50</v>
          </cell>
        </row>
        <row r="1368">
          <cell r="B1368">
            <v>2023002130062</v>
          </cell>
          <cell r="BP1368">
            <v>100</v>
          </cell>
        </row>
        <row r="1369">
          <cell r="B1369">
            <v>2024002130105</v>
          </cell>
          <cell r="BP1369">
            <v>30</v>
          </cell>
        </row>
        <row r="1370">
          <cell r="B1370">
            <v>2025002130026</v>
          </cell>
          <cell r="BP1370">
            <v>60</v>
          </cell>
        </row>
        <row r="1371">
          <cell r="B1371">
            <v>2021002130205</v>
          </cell>
          <cell r="BP1371">
            <v>50</v>
          </cell>
        </row>
        <row r="1372">
          <cell r="B1372">
            <v>2022002130131</v>
          </cell>
          <cell r="BP1372">
            <v>0</v>
          </cell>
        </row>
        <row r="1373">
          <cell r="B1373">
            <v>2024002130025</v>
          </cell>
          <cell r="BP1373">
            <v>41</v>
          </cell>
        </row>
        <row r="1374">
          <cell r="B1374">
            <v>2025134300003</v>
          </cell>
          <cell r="BP1374">
            <v>28.5</v>
          </cell>
        </row>
        <row r="1375">
          <cell r="B1375">
            <v>2023000020024</v>
          </cell>
          <cell r="BP1375">
            <v>90</v>
          </cell>
        </row>
        <row r="1376">
          <cell r="B1376">
            <v>2024002130082</v>
          </cell>
          <cell r="BP1376">
            <v>100</v>
          </cell>
        </row>
        <row r="1377">
          <cell r="B1377">
            <v>2024002130068</v>
          </cell>
          <cell r="BP1377">
            <v>93.6</v>
          </cell>
        </row>
        <row r="1378">
          <cell r="B1378">
            <v>2022138940039</v>
          </cell>
          <cell r="BP1378">
            <v>2</v>
          </cell>
        </row>
        <row r="1379">
          <cell r="B1379">
            <v>2021000100014</v>
          </cell>
          <cell r="BP1379">
            <v>56</v>
          </cell>
        </row>
        <row r="1380">
          <cell r="B1380">
            <v>2020000100578</v>
          </cell>
          <cell r="BP1380">
            <v>100</v>
          </cell>
        </row>
        <row r="1381">
          <cell r="B1381">
            <v>2019000100021</v>
          </cell>
          <cell r="BP1381">
            <v>100</v>
          </cell>
        </row>
        <row r="1382">
          <cell r="B1382">
            <v>2020000100364</v>
          </cell>
          <cell r="BP1382">
            <v>100</v>
          </cell>
        </row>
        <row r="1383">
          <cell r="B1383">
            <v>2020000100405</v>
          </cell>
          <cell r="BP1383">
            <v>95.6</v>
          </cell>
        </row>
        <row r="1384">
          <cell r="B1384">
            <v>2020000100439</v>
          </cell>
          <cell r="BP1384">
            <v>100</v>
          </cell>
        </row>
        <row r="1385">
          <cell r="B1385">
            <v>2020000100467</v>
          </cell>
          <cell r="BP1385">
            <v>100</v>
          </cell>
        </row>
        <row r="1386">
          <cell r="B1386">
            <v>2021000100112</v>
          </cell>
          <cell r="BP1386">
            <v>84</v>
          </cell>
        </row>
        <row r="1387">
          <cell r="B1387">
            <v>2021000100517</v>
          </cell>
          <cell r="BP1387">
            <v>50</v>
          </cell>
        </row>
        <row r="1388">
          <cell r="B1388">
            <v>2022000100037</v>
          </cell>
          <cell r="BP1388">
            <v>100</v>
          </cell>
        </row>
        <row r="1389">
          <cell r="B1389">
            <v>2019000100037</v>
          </cell>
          <cell r="BP1389">
            <v>100</v>
          </cell>
        </row>
        <row r="1390">
          <cell r="B1390">
            <v>2025131400003</v>
          </cell>
          <cell r="BP1390">
            <v>44.5</v>
          </cell>
        </row>
        <row r="1391">
          <cell r="B1391">
            <v>20211301011299</v>
          </cell>
          <cell r="BP1391">
            <v>100</v>
          </cell>
        </row>
        <row r="1392">
          <cell r="B1392">
            <v>2021131600108</v>
          </cell>
          <cell r="BP1392">
            <v>29</v>
          </cell>
        </row>
        <row r="1393">
          <cell r="B1393">
            <v>20221301010105</v>
          </cell>
          <cell r="BP1393">
            <v>0</v>
          </cell>
        </row>
        <row r="1394">
          <cell r="B1394">
            <v>2022131600118</v>
          </cell>
          <cell r="BP1394">
            <v>100</v>
          </cell>
        </row>
        <row r="1395">
          <cell r="B1395">
            <v>2024131600095</v>
          </cell>
          <cell r="BP1395">
            <v>0</v>
          </cell>
        </row>
        <row r="1396">
          <cell r="B1396">
            <v>2025131600010</v>
          </cell>
          <cell r="BP1396">
            <v>68</v>
          </cell>
        </row>
        <row r="1397">
          <cell r="B1397">
            <v>20211301010159</v>
          </cell>
          <cell r="BP1397">
            <v>9.9</v>
          </cell>
        </row>
        <row r="1398">
          <cell r="B1398">
            <v>2023131600167</v>
          </cell>
          <cell r="BP1398">
            <v>0</v>
          </cell>
        </row>
        <row r="1399">
          <cell r="B1399">
            <v>2025131600012</v>
          </cell>
          <cell r="BP1399">
            <v>100</v>
          </cell>
        </row>
        <row r="1400">
          <cell r="B1400">
            <v>2019131600015</v>
          </cell>
          <cell r="BP1400">
            <v>100</v>
          </cell>
        </row>
        <row r="1401">
          <cell r="B1401">
            <v>2024131600109</v>
          </cell>
          <cell r="BP1401">
            <v>100</v>
          </cell>
        </row>
        <row r="1402">
          <cell r="B1402">
            <v>2024131600114</v>
          </cell>
          <cell r="BP1402">
            <v>100</v>
          </cell>
        </row>
        <row r="1403">
          <cell r="B1403">
            <v>2025131600009</v>
          </cell>
          <cell r="BP1403">
            <v>100</v>
          </cell>
        </row>
        <row r="1404">
          <cell r="B1404">
            <v>2026131600001</v>
          </cell>
          <cell r="BP1404">
            <v>100</v>
          </cell>
        </row>
        <row r="1405">
          <cell r="B1405">
            <v>20251301010036</v>
          </cell>
          <cell r="BP1405">
            <v>100</v>
          </cell>
        </row>
        <row r="1406">
          <cell r="B1406">
            <v>2013130010022</v>
          </cell>
          <cell r="BP1406">
            <v>0</v>
          </cell>
        </row>
        <row r="1407">
          <cell r="B1407">
            <v>2017130010001</v>
          </cell>
          <cell r="BP1407">
            <v>0</v>
          </cell>
        </row>
        <row r="1408">
          <cell r="B1408">
            <v>2021130010135</v>
          </cell>
          <cell r="BP1408">
            <v>29</v>
          </cell>
        </row>
        <row r="1409">
          <cell r="B1409">
            <v>2021130010138</v>
          </cell>
          <cell r="BP1409">
            <v>50</v>
          </cell>
        </row>
        <row r="1410">
          <cell r="B1410">
            <v>2022130010022</v>
          </cell>
          <cell r="BP1410">
            <v>100</v>
          </cell>
        </row>
        <row r="1411">
          <cell r="B1411">
            <v>2023130010005</v>
          </cell>
          <cell r="BP1411">
            <v>50</v>
          </cell>
        </row>
        <row r="1412">
          <cell r="B1412" t="str">
            <v>2025N003490001</v>
          </cell>
          <cell r="BP1412">
            <v>0</v>
          </cell>
        </row>
        <row r="1413">
          <cell r="B1413" t="str">
            <v>2025N003400001</v>
          </cell>
          <cell r="BP1413">
            <v>56</v>
          </cell>
        </row>
        <row r="1414">
          <cell r="B1414" t="str">
            <v>2025N002710001</v>
          </cell>
          <cell r="BP1414">
            <v>0</v>
          </cell>
        </row>
        <row r="1415">
          <cell r="B1415" t="str">
            <v>2025N002710002</v>
          </cell>
          <cell r="BP1415">
            <v>0</v>
          </cell>
        </row>
        <row r="1416">
          <cell r="B1416" t="str">
            <v>2024N000510001</v>
          </cell>
          <cell r="BP1416">
            <v>0</v>
          </cell>
        </row>
        <row r="1417">
          <cell r="B1417" t="str">
            <v>2025N003330001</v>
          </cell>
          <cell r="BP1417">
            <v>100</v>
          </cell>
        </row>
        <row r="1418">
          <cell r="B1418">
            <v>2023130010008</v>
          </cell>
          <cell r="BP1418">
            <v>0</v>
          </cell>
        </row>
        <row r="1419">
          <cell r="B1419">
            <v>2024131880006</v>
          </cell>
          <cell r="BP1419">
            <v>62</v>
          </cell>
        </row>
        <row r="1420">
          <cell r="B1420">
            <v>2025132220002</v>
          </cell>
          <cell r="BP1420">
            <v>40</v>
          </cell>
        </row>
        <row r="1421">
          <cell r="B1421">
            <v>2025132220005</v>
          </cell>
          <cell r="BP1421">
            <v>100</v>
          </cell>
        </row>
        <row r="1422">
          <cell r="B1422">
            <v>2025132220006</v>
          </cell>
          <cell r="BP1422">
            <v>100</v>
          </cell>
        </row>
        <row r="1423">
          <cell r="B1423">
            <v>20191301010337</v>
          </cell>
          <cell r="BP1423">
            <v>0</v>
          </cell>
        </row>
        <row r="1424">
          <cell r="B1424">
            <v>20211301010778</v>
          </cell>
          <cell r="BP1424">
            <v>100</v>
          </cell>
        </row>
        <row r="1425">
          <cell r="B1425">
            <v>2025132120002</v>
          </cell>
          <cell r="BP1425">
            <v>53.4</v>
          </cell>
        </row>
        <row r="1426">
          <cell r="B1426">
            <v>2025132120004</v>
          </cell>
          <cell r="BP1426">
            <v>32</v>
          </cell>
        </row>
        <row r="1427">
          <cell r="B1427">
            <v>2025132440001</v>
          </cell>
          <cell r="BP1427">
            <v>0</v>
          </cell>
        </row>
        <row r="1428">
          <cell r="B1428">
            <v>20211301010935</v>
          </cell>
          <cell r="BP1428">
            <v>41</v>
          </cell>
        </row>
        <row r="1429">
          <cell r="B1429">
            <v>2021132440046</v>
          </cell>
          <cell r="BP1429">
            <v>50</v>
          </cell>
        </row>
        <row r="1430">
          <cell r="B1430">
            <v>20241301010155</v>
          </cell>
          <cell r="BP1430">
            <v>60</v>
          </cell>
        </row>
        <row r="1431">
          <cell r="B1431">
            <v>2024132440007</v>
          </cell>
          <cell r="BP1431">
            <v>45</v>
          </cell>
        </row>
        <row r="1432">
          <cell r="B1432">
            <v>2025132440002</v>
          </cell>
          <cell r="BP1432">
            <v>60</v>
          </cell>
        </row>
        <row r="1433">
          <cell r="B1433">
            <v>2025132480001</v>
          </cell>
          <cell r="BP1433">
            <v>89.2</v>
          </cell>
        </row>
        <row r="1434">
          <cell r="B1434">
            <v>2025132680005</v>
          </cell>
          <cell r="BP1434">
            <v>100</v>
          </cell>
        </row>
        <row r="1435">
          <cell r="B1435">
            <v>2025133000006</v>
          </cell>
          <cell r="BP1435">
            <v>60</v>
          </cell>
        </row>
        <row r="1436">
          <cell r="B1436">
            <v>2024133000004</v>
          </cell>
          <cell r="BP1436">
            <v>0</v>
          </cell>
        </row>
        <row r="1437">
          <cell r="B1437">
            <v>2025133000001</v>
          </cell>
          <cell r="BP1437">
            <v>100</v>
          </cell>
        </row>
        <row r="1438">
          <cell r="B1438">
            <v>2025133000003</v>
          </cell>
          <cell r="BP1438">
            <v>100</v>
          </cell>
        </row>
        <row r="1439">
          <cell r="B1439">
            <v>2025133000004</v>
          </cell>
          <cell r="BP1439">
            <v>50</v>
          </cell>
        </row>
        <row r="1440">
          <cell r="B1440">
            <v>2024134300095</v>
          </cell>
          <cell r="BP1440">
            <v>100</v>
          </cell>
        </row>
        <row r="1441">
          <cell r="B1441">
            <v>2014134300005</v>
          </cell>
          <cell r="BP1441">
            <v>0</v>
          </cell>
        </row>
        <row r="1442">
          <cell r="B1442">
            <v>2024134300064</v>
          </cell>
          <cell r="BP1442">
            <v>100</v>
          </cell>
        </row>
        <row r="1443">
          <cell r="B1443">
            <v>2025134330007</v>
          </cell>
          <cell r="BP1443">
            <v>48.2</v>
          </cell>
        </row>
        <row r="1444">
          <cell r="B1444">
            <v>2025134330009</v>
          </cell>
          <cell r="BP1444">
            <v>40</v>
          </cell>
        </row>
        <row r="1445">
          <cell r="B1445">
            <v>20241301010017</v>
          </cell>
          <cell r="BP1445">
            <v>100</v>
          </cell>
        </row>
        <row r="1446">
          <cell r="B1446">
            <v>2023134420011</v>
          </cell>
          <cell r="BP1446">
            <v>0</v>
          </cell>
        </row>
        <row r="1447">
          <cell r="B1447">
            <v>2025134420002</v>
          </cell>
          <cell r="BP1447">
            <v>89</v>
          </cell>
        </row>
        <row r="1448">
          <cell r="B1448">
            <v>2025134420003</v>
          </cell>
          <cell r="BP1448">
            <v>0</v>
          </cell>
        </row>
        <row r="1449">
          <cell r="B1449">
            <v>2025134420004</v>
          </cell>
          <cell r="BP1449">
            <v>0</v>
          </cell>
        </row>
        <row r="1450">
          <cell r="B1450">
            <v>2019134680005</v>
          </cell>
          <cell r="BP1450">
            <v>0</v>
          </cell>
        </row>
        <row r="1451">
          <cell r="B1451">
            <v>2017134680001</v>
          </cell>
          <cell r="BP1451">
            <v>0</v>
          </cell>
        </row>
        <row r="1452">
          <cell r="B1452">
            <v>2025134680001</v>
          </cell>
          <cell r="BP1452">
            <v>44.5</v>
          </cell>
        </row>
        <row r="1453">
          <cell r="B1453">
            <v>2025134680005</v>
          </cell>
          <cell r="BP1453">
            <v>100</v>
          </cell>
        </row>
        <row r="1454">
          <cell r="B1454">
            <v>2024134680006</v>
          </cell>
          <cell r="BP1454">
            <v>96</v>
          </cell>
        </row>
        <row r="1455">
          <cell r="B1455">
            <v>2023134580054</v>
          </cell>
          <cell r="BP1455">
            <v>34</v>
          </cell>
        </row>
        <row r="1456">
          <cell r="B1456">
            <v>2025134580003</v>
          </cell>
          <cell r="BP1456">
            <v>100</v>
          </cell>
        </row>
        <row r="1457">
          <cell r="B1457">
            <v>2025134580004</v>
          </cell>
          <cell r="BP1457">
            <v>100</v>
          </cell>
        </row>
        <row r="1458">
          <cell r="B1458">
            <v>2025134580005</v>
          </cell>
          <cell r="BP1458">
            <v>50</v>
          </cell>
        </row>
        <row r="1459">
          <cell r="B1459">
            <v>2025134580006</v>
          </cell>
          <cell r="BP1459">
            <v>100</v>
          </cell>
        </row>
        <row r="1460">
          <cell r="B1460">
            <v>2025134580007</v>
          </cell>
          <cell r="BP1460">
            <v>17.8</v>
          </cell>
        </row>
        <row r="1461">
          <cell r="B1461">
            <v>2025134580011</v>
          </cell>
          <cell r="BP1461">
            <v>0</v>
          </cell>
        </row>
        <row r="1462">
          <cell r="B1462">
            <v>2026134580001</v>
          </cell>
          <cell r="BP1462">
            <v>100</v>
          </cell>
        </row>
        <row r="1463">
          <cell r="B1463">
            <v>20251301010072</v>
          </cell>
          <cell r="BP1463">
            <v>0</v>
          </cell>
        </row>
        <row r="1464">
          <cell r="B1464">
            <v>2025134730001</v>
          </cell>
          <cell r="BP1464">
            <v>96</v>
          </cell>
        </row>
        <row r="1465">
          <cell r="B1465">
            <v>20201301012047</v>
          </cell>
          <cell r="BP1465">
            <v>20</v>
          </cell>
        </row>
        <row r="1466">
          <cell r="B1466">
            <v>2025134730003</v>
          </cell>
          <cell r="BP1466">
            <v>100</v>
          </cell>
        </row>
        <row r="1467">
          <cell r="B1467">
            <v>2025134900011</v>
          </cell>
          <cell r="BP1467">
            <v>89</v>
          </cell>
        </row>
        <row r="1468">
          <cell r="B1468">
            <v>2026134900001</v>
          </cell>
          <cell r="BP1468">
            <v>35.6</v>
          </cell>
        </row>
        <row r="1469">
          <cell r="B1469">
            <v>2019135490004</v>
          </cell>
          <cell r="BP1469">
            <v>50</v>
          </cell>
        </row>
        <row r="1470">
          <cell r="B1470">
            <v>2022135490028</v>
          </cell>
          <cell r="BP1470">
            <v>50</v>
          </cell>
        </row>
        <row r="1471">
          <cell r="B1471">
            <v>2025135800007</v>
          </cell>
          <cell r="BP1471">
            <v>82</v>
          </cell>
        </row>
        <row r="1472">
          <cell r="B1472">
            <v>2025135800009</v>
          </cell>
          <cell r="BP1472">
            <v>95.6</v>
          </cell>
        </row>
        <row r="1473">
          <cell r="B1473">
            <v>2014136000001</v>
          </cell>
          <cell r="BP1473">
            <v>0</v>
          </cell>
        </row>
        <row r="1474">
          <cell r="B1474">
            <v>2014136000004</v>
          </cell>
          <cell r="BP1474">
            <v>0</v>
          </cell>
        </row>
        <row r="1475">
          <cell r="B1475">
            <v>2025136470002</v>
          </cell>
          <cell r="BP1475">
            <v>71</v>
          </cell>
        </row>
        <row r="1476">
          <cell r="B1476">
            <v>2025136500008</v>
          </cell>
          <cell r="BP1476">
            <v>81.2</v>
          </cell>
        </row>
        <row r="1477">
          <cell r="B1477">
            <v>2025136540001</v>
          </cell>
          <cell r="BP1477">
            <v>100</v>
          </cell>
        </row>
        <row r="1478">
          <cell r="B1478">
            <v>2025136540002</v>
          </cell>
          <cell r="BP1478">
            <v>100</v>
          </cell>
        </row>
        <row r="1479">
          <cell r="B1479">
            <v>2024136550106</v>
          </cell>
          <cell r="BP1479">
            <v>0</v>
          </cell>
        </row>
        <row r="1480">
          <cell r="B1480">
            <v>2025136550002</v>
          </cell>
          <cell r="BP1480">
            <v>26.7</v>
          </cell>
        </row>
        <row r="1481">
          <cell r="B1481">
            <v>2025136550003</v>
          </cell>
          <cell r="BP1481">
            <v>0</v>
          </cell>
        </row>
        <row r="1482">
          <cell r="B1482">
            <v>2025136550004</v>
          </cell>
          <cell r="BP1482">
            <v>37.4</v>
          </cell>
        </row>
        <row r="1483">
          <cell r="B1483">
            <v>2025136570003</v>
          </cell>
          <cell r="BP1483">
            <v>32.6</v>
          </cell>
        </row>
        <row r="1484">
          <cell r="B1484">
            <v>2025136570005</v>
          </cell>
          <cell r="BP1484">
            <v>100</v>
          </cell>
        </row>
        <row r="1485">
          <cell r="B1485">
            <v>2025136570002</v>
          </cell>
          <cell r="BP1485">
            <v>100</v>
          </cell>
        </row>
        <row r="1486">
          <cell r="B1486">
            <v>2025136670003</v>
          </cell>
          <cell r="BP1486">
            <v>76</v>
          </cell>
        </row>
        <row r="1487">
          <cell r="B1487">
            <v>2025136670002</v>
          </cell>
          <cell r="BP1487">
            <v>100</v>
          </cell>
        </row>
        <row r="1488">
          <cell r="B1488">
            <v>2015136700001</v>
          </cell>
          <cell r="BP1488">
            <v>0</v>
          </cell>
        </row>
        <row r="1489">
          <cell r="B1489">
            <v>20201301010748</v>
          </cell>
          <cell r="BP1489">
            <v>48</v>
          </cell>
        </row>
        <row r="1490">
          <cell r="B1490">
            <v>20201301011344</v>
          </cell>
          <cell r="BP1490">
            <v>0</v>
          </cell>
        </row>
        <row r="1491">
          <cell r="B1491">
            <v>20221301010331</v>
          </cell>
          <cell r="BP1491">
            <v>69.5</v>
          </cell>
        </row>
        <row r="1492">
          <cell r="B1492">
            <v>2025136700010</v>
          </cell>
          <cell r="BP1492">
            <v>60</v>
          </cell>
        </row>
        <row r="1493">
          <cell r="B1493">
            <v>2025136700008</v>
          </cell>
          <cell r="BP1493">
            <v>100</v>
          </cell>
        </row>
        <row r="1494">
          <cell r="B1494">
            <v>20251301010065</v>
          </cell>
          <cell r="BP1494">
            <v>54.1</v>
          </cell>
        </row>
        <row r="1495">
          <cell r="B1495">
            <v>20241301010126</v>
          </cell>
          <cell r="BP1495">
            <v>60</v>
          </cell>
        </row>
        <row r="1496">
          <cell r="B1496">
            <v>2025136730001</v>
          </cell>
          <cell r="BP1496">
            <v>44.5</v>
          </cell>
        </row>
        <row r="1497">
          <cell r="B1497">
            <v>2013002130017</v>
          </cell>
          <cell r="BP1497">
            <v>0</v>
          </cell>
        </row>
        <row r="1498">
          <cell r="B1498">
            <v>2024136830137</v>
          </cell>
          <cell r="BP1498">
            <v>0</v>
          </cell>
        </row>
        <row r="1499">
          <cell r="B1499">
            <v>2025136830002</v>
          </cell>
          <cell r="BP1499">
            <v>0</v>
          </cell>
        </row>
        <row r="1500">
          <cell r="B1500">
            <v>20191301010434</v>
          </cell>
          <cell r="BP1500">
            <v>60</v>
          </cell>
        </row>
        <row r="1501">
          <cell r="B1501">
            <v>20201301011243</v>
          </cell>
          <cell r="BP1501">
            <v>94</v>
          </cell>
        </row>
        <row r="1502">
          <cell r="B1502">
            <v>2022136880007</v>
          </cell>
          <cell r="BP1502">
            <v>0</v>
          </cell>
        </row>
        <row r="1503">
          <cell r="B1503">
            <v>2025136880001</v>
          </cell>
          <cell r="BP1503">
            <v>60</v>
          </cell>
        </row>
        <row r="1504">
          <cell r="B1504">
            <v>20251301010044</v>
          </cell>
          <cell r="BP1504">
            <v>100</v>
          </cell>
        </row>
        <row r="1505">
          <cell r="B1505">
            <v>2015137440001</v>
          </cell>
          <cell r="BP1505">
            <v>0</v>
          </cell>
        </row>
        <row r="1506">
          <cell r="B1506">
            <v>2015137440002</v>
          </cell>
          <cell r="BP1506">
            <v>16.5</v>
          </cell>
        </row>
        <row r="1507">
          <cell r="B1507">
            <v>2015137440003</v>
          </cell>
          <cell r="BP1507">
            <v>16.5</v>
          </cell>
        </row>
        <row r="1508">
          <cell r="B1508">
            <v>2015137440004</v>
          </cell>
          <cell r="BP1508">
            <v>0</v>
          </cell>
        </row>
        <row r="1509">
          <cell r="B1509">
            <v>20251301010038</v>
          </cell>
          <cell r="BP1509">
            <v>100</v>
          </cell>
        </row>
        <row r="1510">
          <cell r="B1510">
            <v>2025137440004</v>
          </cell>
          <cell r="BP1510">
            <v>81.2</v>
          </cell>
        </row>
        <row r="1511">
          <cell r="B1511">
            <v>20191301010234</v>
          </cell>
          <cell r="BP1511">
            <v>42</v>
          </cell>
        </row>
        <row r="1512">
          <cell r="B1512">
            <v>2022137440066</v>
          </cell>
          <cell r="BP1512">
            <v>50</v>
          </cell>
        </row>
        <row r="1513">
          <cell r="B1513">
            <v>20231301010165</v>
          </cell>
          <cell r="BP1513">
            <v>75</v>
          </cell>
        </row>
        <row r="1514">
          <cell r="B1514">
            <v>2024137440074</v>
          </cell>
          <cell r="BP1514">
            <v>100</v>
          </cell>
        </row>
        <row r="1515">
          <cell r="B1515">
            <v>2025137600002</v>
          </cell>
          <cell r="BP1515">
            <v>100</v>
          </cell>
        </row>
        <row r="1516">
          <cell r="B1516">
            <v>2022137600012</v>
          </cell>
          <cell r="BP1516">
            <v>0</v>
          </cell>
        </row>
        <row r="1517">
          <cell r="B1517">
            <v>2023137600002</v>
          </cell>
          <cell r="BP1517">
            <v>0</v>
          </cell>
        </row>
        <row r="1518">
          <cell r="B1518">
            <v>2023137600005</v>
          </cell>
          <cell r="BP1518">
            <v>0</v>
          </cell>
        </row>
        <row r="1519">
          <cell r="B1519">
            <v>2023137600006</v>
          </cell>
          <cell r="BP1519">
            <v>0</v>
          </cell>
        </row>
        <row r="1520">
          <cell r="B1520">
            <v>2024137800010</v>
          </cell>
          <cell r="BP1520">
            <v>89</v>
          </cell>
        </row>
        <row r="1521">
          <cell r="B1521">
            <v>2026137800001</v>
          </cell>
          <cell r="BP1521">
            <v>69.599999999999994</v>
          </cell>
        </row>
        <row r="1522">
          <cell r="B1522">
            <v>2024138100058</v>
          </cell>
          <cell r="BP1522">
            <v>0</v>
          </cell>
        </row>
        <row r="1523">
          <cell r="B1523">
            <v>2025138100001</v>
          </cell>
          <cell r="BP1523">
            <v>0</v>
          </cell>
        </row>
        <row r="1524">
          <cell r="B1524">
            <v>2025138100002</v>
          </cell>
          <cell r="BP1524">
            <v>0</v>
          </cell>
        </row>
        <row r="1525">
          <cell r="B1525">
            <v>2025138100003</v>
          </cell>
          <cell r="BP1525">
            <v>0</v>
          </cell>
        </row>
        <row r="1526">
          <cell r="B1526">
            <v>2025138380005</v>
          </cell>
          <cell r="BP1526">
            <v>100</v>
          </cell>
        </row>
        <row r="1527">
          <cell r="B1527">
            <v>2025138730001</v>
          </cell>
          <cell r="BP1527">
            <v>67</v>
          </cell>
        </row>
        <row r="1528">
          <cell r="B1528">
            <v>2025138730005</v>
          </cell>
          <cell r="BP1528">
            <v>100</v>
          </cell>
        </row>
        <row r="1529">
          <cell r="B1529">
            <v>20241301010305</v>
          </cell>
          <cell r="BP1529">
            <v>40</v>
          </cell>
        </row>
        <row r="1530">
          <cell r="B1530">
            <v>20201301012522</v>
          </cell>
          <cell r="BP1530">
            <v>86.8</v>
          </cell>
        </row>
        <row r="1531">
          <cell r="B1531">
            <v>2017138940001</v>
          </cell>
          <cell r="BP1531">
            <v>19</v>
          </cell>
        </row>
        <row r="1532">
          <cell r="B1532">
            <v>2025138940002</v>
          </cell>
          <cell r="BP1532">
            <v>87.6</v>
          </cell>
        </row>
        <row r="1533">
          <cell r="B1533">
            <v>20251301010284</v>
          </cell>
          <cell r="BP1533">
            <v>0</v>
          </cell>
        </row>
        <row r="1534">
          <cell r="B1534">
            <v>2026150220001</v>
          </cell>
          <cell r="BP1534">
            <v>100</v>
          </cell>
        </row>
        <row r="1535">
          <cell r="B1535">
            <v>2024150470025</v>
          </cell>
          <cell r="BP1535">
            <v>50</v>
          </cell>
        </row>
        <row r="1536">
          <cell r="B1536">
            <v>2026150510001</v>
          </cell>
          <cell r="BP1536">
            <v>100</v>
          </cell>
        </row>
        <row r="1537">
          <cell r="B1537" t="str">
            <v>2023I00010045</v>
          </cell>
          <cell r="BP1537">
            <v>44.5</v>
          </cell>
        </row>
        <row r="1538">
          <cell r="B1538">
            <v>2025150870003</v>
          </cell>
          <cell r="BP1538">
            <v>39.299999999999997</v>
          </cell>
        </row>
        <row r="1539">
          <cell r="B1539">
            <v>2026150870001</v>
          </cell>
          <cell r="BP1539">
            <v>89</v>
          </cell>
        </row>
        <row r="1540">
          <cell r="B1540">
            <v>2025150920001</v>
          </cell>
          <cell r="BP1540">
            <v>0</v>
          </cell>
        </row>
        <row r="1541">
          <cell r="B1541">
            <v>2025150920002</v>
          </cell>
          <cell r="BP1541">
            <v>60</v>
          </cell>
        </row>
        <row r="1542">
          <cell r="B1542">
            <v>2025151040002</v>
          </cell>
          <cell r="BP1542">
            <v>100</v>
          </cell>
        </row>
        <row r="1543">
          <cell r="B1543">
            <v>2025151040001</v>
          </cell>
          <cell r="BP1543">
            <v>89</v>
          </cell>
        </row>
        <row r="1544">
          <cell r="B1544">
            <v>2013000050070</v>
          </cell>
          <cell r="BP1544">
            <v>21</v>
          </cell>
        </row>
        <row r="1545">
          <cell r="B1545">
            <v>2013000100288</v>
          </cell>
          <cell r="BP1545">
            <v>12</v>
          </cell>
        </row>
        <row r="1546">
          <cell r="B1546">
            <v>2014000050007</v>
          </cell>
          <cell r="BP1546">
            <v>78</v>
          </cell>
        </row>
        <row r="1547">
          <cell r="B1547">
            <v>2017000050014</v>
          </cell>
          <cell r="BP1547">
            <v>0</v>
          </cell>
        </row>
        <row r="1548">
          <cell r="B1548">
            <v>2017000100111</v>
          </cell>
          <cell r="BP1548">
            <v>100</v>
          </cell>
        </row>
        <row r="1549">
          <cell r="B1549">
            <v>2017004150105</v>
          </cell>
          <cell r="BP1549">
            <v>0</v>
          </cell>
        </row>
        <row r="1550">
          <cell r="B1550">
            <v>2017004150107</v>
          </cell>
          <cell r="BP1550">
            <v>0</v>
          </cell>
        </row>
        <row r="1551">
          <cell r="B1551">
            <v>2019000050040</v>
          </cell>
          <cell r="BP1551">
            <v>0</v>
          </cell>
        </row>
        <row r="1552">
          <cell r="B1552">
            <v>2019000050100</v>
          </cell>
          <cell r="BP1552">
            <v>92</v>
          </cell>
        </row>
        <row r="1553">
          <cell r="B1553">
            <v>2021004150160</v>
          </cell>
          <cell r="BP1553">
            <v>100</v>
          </cell>
        </row>
        <row r="1554">
          <cell r="B1554">
            <v>2021004150166</v>
          </cell>
          <cell r="BP1554">
            <v>34.5</v>
          </cell>
        </row>
        <row r="1555">
          <cell r="B1555">
            <v>2021004150285</v>
          </cell>
          <cell r="BP1555">
            <v>88.4</v>
          </cell>
        </row>
        <row r="1556">
          <cell r="B1556">
            <v>2022000050029</v>
          </cell>
          <cell r="BP1556">
            <v>100</v>
          </cell>
        </row>
        <row r="1557">
          <cell r="B1557">
            <v>2022004150232</v>
          </cell>
          <cell r="BP1557">
            <v>13.1</v>
          </cell>
        </row>
        <row r="1558">
          <cell r="B1558">
            <v>2023000100065</v>
          </cell>
          <cell r="BP1558">
            <v>11</v>
          </cell>
        </row>
        <row r="1559">
          <cell r="B1559">
            <v>2023004150011</v>
          </cell>
          <cell r="BP1559">
            <v>45.6</v>
          </cell>
        </row>
        <row r="1560">
          <cell r="B1560">
            <v>2023004150108</v>
          </cell>
          <cell r="BP1560">
            <v>78.8</v>
          </cell>
        </row>
        <row r="1561">
          <cell r="B1561">
            <v>2024000050006</v>
          </cell>
          <cell r="BP1561">
            <v>100</v>
          </cell>
        </row>
        <row r="1562">
          <cell r="B1562">
            <v>2024000050022</v>
          </cell>
          <cell r="BP1562">
            <v>0</v>
          </cell>
        </row>
        <row r="1563">
          <cell r="B1563">
            <v>2025000050006</v>
          </cell>
          <cell r="BP1563">
            <v>100</v>
          </cell>
        </row>
        <row r="1564">
          <cell r="B1564">
            <v>2025000050021</v>
          </cell>
          <cell r="BP1564">
            <v>0</v>
          </cell>
        </row>
        <row r="1565">
          <cell r="B1565">
            <v>2025004150005</v>
          </cell>
          <cell r="BP1565">
            <v>0</v>
          </cell>
        </row>
        <row r="1566">
          <cell r="B1566">
            <v>2025004150006</v>
          </cell>
          <cell r="BP1566">
            <v>0</v>
          </cell>
        </row>
        <row r="1567">
          <cell r="B1567">
            <v>2025004150014</v>
          </cell>
          <cell r="BP1567">
            <v>100</v>
          </cell>
        </row>
        <row r="1568">
          <cell r="B1568">
            <v>2025004150015</v>
          </cell>
          <cell r="BP1568">
            <v>61.6</v>
          </cell>
        </row>
        <row r="1569">
          <cell r="B1569">
            <v>2025004150016</v>
          </cell>
          <cell r="BP1569">
            <v>92</v>
          </cell>
        </row>
        <row r="1570">
          <cell r="B1570">
            <v>2025004150017</v>
          </cell>
          <cell r="BP1570">
            <v>92.8</v>
          </cell>
        </row>
        <row r="1571">
          <cell r="B1571">
            <v>2025004150019</v>
          </cell>
          <cell r="BP1571">
            <v>60</v>
          </cell>
        </row>
        <row r="1572">
          <cell r="B1572">
            <v>2025004150020</v>
          </cell>
          <cell r="BP1572">
            <v>0</v>
          </cell>
        </row>
        <row r="1573">
          <cell r="B1573">
            <v>2025004150023</v>
          </cell>
          <cell r="BP1573">
            <v>92</v>
          </cell>
        </row>
        <row r="1574">
          <cell r="B1574">
            <v>2025004150034</v>
          </cell>
          <cell r="BP1574">
            <v>60</v>
          </cell>
        </row>
        <row r="1575">
          <cell r="B1575">
            <v>2025004150037</v>
          </cell>
          <cell r="BP1575">
            <v>100</v>
          </cell>
        </row>
        <row r="1576">
          <cell r="B1576">
            <v>2025004150041</v>
          </cell>
          <cell r="BP1576">
            <v>97.2</v>
          </cell>
        </row>
        <row r="1577">
          <cell r="B1577">
            <v>2025004150042</v>
          </cell>
          <cell r="BP1577">
            <v>0</v>
          </cell>
        </row>
        <row r="1578">
          <cell r="B1578">
            <v>2025004150043</v>
          </cell>
          <cell r="BP1578">
            <v>79.599999999999994</v>
          </cell>
        </row>
        <row r="1579">
          <cell r="B1579">
            <v>2025004150045</v>
          </cell>
          <cell r="BP1579">
            <v>0</v>
          </cell>
        </row>
        <row r="1580">
          <cell r="B1580">
            <v>2025004150046</v>
          </cell>
          <cell r="BP1580">
            <v>0</v>
          </cell>
        </row>
        <row r="1581">
          <cell r="B1581">
            <v>2025004150050</v>
          </cell>
          <cell r="BP1581">
            <v>0</v>
          </cell>
        </row>
        <row r="1582">
          <cell r="B1582">
            <v>2015004150002</v>
          </cell>
          <cell r="BP1582">
            <v>0</v>
          </cell>
        </row>
        <row r="1583">
          <cell r="B1583">
            <v>2025004150024</v>
          </cell>
          <cell r="BP1583">
            <v>96</v>
          </cell>
        </row>
        <row r="1584">
          <cell r="B1584">
            <v>2022004150238</v>
          </cell>
          <cell r="BP1584">
            <v>8.9</v>
          </cell>
        </row>
        <row r="1585">
          <cell r="B1585">
            <v>2022004150311</v>
          </cell>
          <cell r="BP1585">
            <v>0</v>
          </cell>
        </row>
        <row r="1586">
          <cell r="B1586">
            <v>2017000050072</v>
          </cell>
          <cell r="BP1586">
            <v>78.400000000000006</v>
          </cell>
        </row>
        <row r="1587">
          <cell r="B1587">
            <v>2023004150166</v>
          </cell>
          <cell r="BP1587">
            <v>0</v>
          </cell>
        </row>
        <row r="1588">
          <cell r="B1588">
            <v>2022004150348</v>
          </cell>
          <cell r="BP1588">
            <v>7</v>
          </cell>
        </row>
        <row r="1589">
          <cell r="B1589">
            <v>2023004150180</v>
          </cell>
          <cell r="BP1589">
            <v>0</v>
          </cell>
        </row>
        <row r="1590">
          <cell r="B1590">
            <v>2022004150281</v>
          </cell>
          <cell r="BP1590">
            <v>90</v>
          </cell>
        </row>
        <row r="1591">
          <cell r="B1591">
            <v>2024004150077</v>
          </cell>
          <cell r="BP1591">
            <v>100</v>
          </cell>
        </row>
        <row r="1592">
          <cell r="B1592">
            <v>2023004150246</v>
          </cell>
          <cell r="BP1592">
            <v>30</v>
          </cell>
        </row>
        <row r="1593">
          <cell r="B1593">
            <v>2025004150007</v>
          </cell>
          <cell r="BP1593">
            <v>89</v>
          </cell>
        </row>
        <row r="1594">
          <cell r="B1594">
            <v>2023004150031</v>
          </cell>
          <cell r="BP1594">
            <v>48</v>
          </cell>
        </row>
        <row r="1595">
          <cell r="B1595">
            <v>2019004150245</v>
          </cell>
          <cell r="BP1595">
            <v>100</v>
          </cell>
        </row>
        <row r="1596">
          <cell r="B1596">
            <v>2024004150450</v>
          </cell>
          <cell r="BP1596">
            <v>60</v>
          </cell>
        </row>
        <row r="1597">
          <cell r="B1597">
            <v>2022004150308</v>
          </cell>
          <cell r="BP1597">
            <v>0</v>
          </cell>
        </row>
        <row r="1598">
          <cell r="B1598">
            <v>2023004150201</v>
          </cell>
          <cell r="BP1598">
            <v>0</v>
          </cell>
        </row>
        <row r="1599">
          <cell r="B1599">
            <v>2025004150030</v>
          </cell>
          <cell r="BP1599">
            <v>60</v>
          </cell>
        </row>
        <row r="1600">
          <cell r="B1600">
            <v>2022004150046</v>
          </cell>
          <cell r="BP1600">
            <v>0</v>
          </cell>
        </row>
        <row r="1601">
          <cell r="B1601">
            <v>2022004150247</v>
          </cell>
          <cell r="BP1601">
            <v>88.2</v>
          </cell>
        </row>
        <row r="1602">
          <cell r="B1602">
            <v>2023004150203</v>
          </cell>
          <cell r="BP1602">
            <v>100</v>
          </cell>
        </row>
        <row r="1603">
          <cell r="B1603">
            <v>2023004150211</v>
          </cell>
          <cell r="BP1603">
            <v>100</v>
          </cell>
        </row>
        <row r="1604">
          <cell r="B1604">
            <v>2023004150089</v>
          </cell>
          <cell r="BP1604">
            <v>0</v>
          </cell>
        </row>
        <row r="1605">
          <cell r="B1605">
            <v>2023004150107</v>
          </cell>
          <cell r="BP1605">
            <v>0</v>
          </cell>
        </row>
        <row r="1606">
          <cell r="B1606">
            <v>2021004150129</v>
          </cell>
          <cell r="BP1606">
            <v>100</v>
          </cell>
        </row>
        <row r="1607">
          <cell r="B1607">
            <v>2022004150278</v>
          </cell>
          <cell r="BP1607">
            <v>0</v>
          </cell>
        </row>
        <row r="1608">
          <cell r="B1608">
            <v>2023004150212</v>
          </cell>
          <cell r="BP1608">
            <v>90</v>
          </cell>
        </row>
        <row r="1609">
          <cell r="B1609">
            <v>2025004150002</v>
          </cell>
          <cell r="BP1609">
            <v>0</v>
          </cell>
        </row>
        <row r="1610">
          <cell r="B1610">
            <v>2023004150241</v>
          </cell>
          <cell r="BP1610">
            <v>54</v>
          </cell>
        </row>
        <row r="1611">
          <cell r="B1611">
            <v>2024004150430</v>
          </cell>
          <cell r="BP1611">
            <v>60</v>
          </cell>
        </row>
        <row r="1612">
          <cell r="B1612">
            <v>2024004150431</v>
          </cell>
          <cell r="BP1612">
            <v>96</v>
          </cell>
        </row>
        <row r="1613">
          <cell r="B1613">
            <v>2024004150432</v>
          </cell>
          <cell r="BP1613">
            <v>100</v>
          </cell>
        </row>
        <row r="1614">
          <cell r="B1614">
            <v>2024004150433</v>
          </cell>
          <cell r="BP1614">
            <v>100</v>
          </cell>
        </row>
        <row r="1615">
          <cell r="B1615">
            <v>2025004150004</v>
          </cell>
          <cell r="BP1615">
            <v>100</v>
          </cell>
        </row>
        <row r="1616">
          <cell r="B1616">
            <v>2025004150008</v>
          </cell>
          <cell r="BP1616">
            <v>100</v>
          </cell>
        </row>
        <row r="1617">
          <cell r="B1617">
            <v>2025004150018</v>
          </cell>
          <cell r="BP1617">
            <v>86.8</v>
          </cell>
        </row>
        <row r="1618">
          <cell r="B1618">
            <v>2025004150021</v>
          </cell>
          <cell r="BP1618">
            <v>0</v>
          </cell>
        </row>
        <row r="1619">
          <cell r="B1619">
            <v>2025004150022</v>
          </cell>
          <cell r="BP1619">
            <v>73.2</v>
          </cell>
        </row>
        <row r="1620">
          <cell r="B1620">
            <v>2025004150026</v>
          </cell>
          <cell r="BP1620">
            <v>40</v>
          </cell>
        </row>
        <row r="1621">
          <cell r="B1621">
            <v>2025004150029</v>
          </cell>
          <cell r="BP1621">
            <v>92</v>
          </cell>
        </row>
        <row r="1622">
          <cell r="B1622">
            <v>2025004150031</v>
          </cell>
          <cell r="BP1622">
            <v>79.599999999999994</v>
          </cell>
        </row>
        <row r="1623">
          <cell r="B1623">
            <v>2025004150038</v>
          </cell>
          <cell r="BP1623">
            <v>60</v>
          </cell>
        </row>
        <row r="1624">
          <cell r="B1624">
            <v>2025004150051</v>
          </cell>
          <cell r="BP1624">
            <v>60</v>
          </cell>
        </row>
        <row r="1625">
          <cell r="B1625">
            <v>2025004150053</v>
          </cell>
          <cell r="BP1625">
            <v>60</v>
          </cell>
        </row>
        <row r="1626">
          <cell r="B1626">
            <v>2020000100588</v>
          </cell>
          <cell r="BP1626">
            <v>93.6</v>
          </cell>
        </row>
        <row r="1627">
          <cell r="B1627">
            <v>2019000100044</v>
          </cell>
          <cell r="BP1627">
            <v>71</v>
          </cell>
        </row>
        <row r="1628">
          <cell r="B1628">
            <v>2020000100645</v>
          </cell>
          <cell r="BP1628">
            <v>0</v>
          </cell>
        </row>
        <row r="1629">
          <cell r="B1629">
            <v>2021000100114</v>
          </cell>
          <cell r="BP1629">
            <v>100</v>
          </cell>
        </row>
        <row r="1630">
          <cell r="B1630">
            <v>2023000100058</v>
          </cell>
          <cell r="BP1630">
            <v>100</v>
          </cell>
        </row>
        <row r="1631">
          <cell r="B1631">
            <v>2019000100041</v>
          </cell>
          <cell r="BP1631">
            <v>100</v>
          </cell>
        </row>
        <row r="1632">
          <cell r="B1632">
            <v>2021000100031</v>
          </cell>
          <cell r="BP1632">
            <v>100</v>
          </cell>
        </row>
        <row r="1633">
          <cell r="B1633">
            <v>2021000100191</v>
          </cell>
          <cell r="BP1633">
            <v>100</v>
          </cell>
        </row>
        <row r="1634">
          <cell r="B1634">
            <v>2021000100295</v>
          </cell>
          <cell r="BP1634">
            <v>84.8</v>
          </cell>
        </row>
        <row r="1635">
          <cell r="B1635">
            <v>2024000100109</v>
          </cell>
          <cell r="BP1635">
            <v>82.4</v>
          </cell>
        </row>
        <row r="1636">
          <cell r="B1636">
            <v>2024004150095</v>
          </cell>
          <cell r="BP1636">
            <v>84.4</v>
          </cell>
        </row>
        <row r="1637">
          <cell r="B1637">
            <v>2024004150162</v>
          </cell>
          <cell r="BP1637">
            <v>89</v>
          </cell>
        </row>
        <row r="1638">
          <cell r="B1638">
            <v>2024004150163</v>
          </cell>
          <cell r="BP1638">
            <v>85.8</v>
          </cell>
        </row>
        <row r="1639">
          <cell r="B1639">
            <v>2024004150428</v>
          </cell>
          <cell r="BP1639">
            <v>78.7</v>
          </cell>
        </row>
        <row r="1640">
          <cell r="B1640">
            <v>2020000100507</v>
          </cell>
          <cell r="BP1640">
            <v>18.600000000000001</v>
          </cell>
        </row>
        <row r="1641">
          <cell r="B1641">
            <v>2023151060003</v>
          </cell>
          <cell r="BP1641">
            <v>72.099999999999994</v>
          </cell>
        </row>
        <row r="1642">
          <cell r="B1642">
            <v>2025151060001</v>
          </cell>
          <cell r="BP1642">
            <v>35.6</v>
          </cell>
        </row>
        <row r="1643">
          <cell r="B1643">
            <v>2025151060002</v>
          </cell>
          <cell r="BP1643">
            <v>89</v>
          </cell>
        </row>
        <row r="1644">
          <cell r="B1644">
            <v>2025151090001</v>
          </cell>
          <cell r="BP1644">
            <v>4</v>
          </cell>
        </row>
        <row r="1645">
          <cell r="B1645">
            <v>2025151090002</v>
          </cell>
          <cell r="BP1645">
            <v>0</v>
          </cell>
        </row>
        <row r="1646">
          <cell r="B1646">
            <v>2026151090002</v>
          </cell>
          <cell r="BP1646">
            <v>100</v>
          </cell>
        </row>
        <row r="1647">
          <cell r="B1647">
            <v>2025151350001</v>
          </cell>
          <cell r="BP1647">
            <v>0</v>
          </cell>
        </row>
        <row r="1648">
          <cell r="B1648">
            <v>2025151620003</v>
          </cell>
          <cell r="BP1648">
            <v>100</v>
          </cell>
        </row>
        <row r="1649">
          <cell r="B1649">
            <v>2023151720003</v>
          </cell>
          <cell r="BP1649">
            <v>0</v>
          </cell>
        </row>
        <row r="1650">
          <cell r="B1650">
            <v>2024151720033</v>
          </cell>
          <cell r="BP1650">
            <v>13.5</v>
          </cell>
        </row>
        <row r="1651">
          <cell r="B1651">
            <v>2025151720001</v>
          </cell>
          <cell r="BP1651">
            <v>40</v>
          </cell>
        </row>
        <row r="1652">
          <cell r="B1652">
            <v>2025151760001</v>
          </cell>
          <cell r="BP1652">
            <v>21.6</v>
          </cell>
        </row>
        <row r="1653">
          <cell r="B1653">
            <v>2026151760001</v>
          </cell>
          <cell r="BP1653">
            <v>60</v>
          </cell>
        </row>
        <row r="1654">
          <cell r="B1654">
            <v>2026151760002</v>
          </cell>
          <cell r="BP1654">
            <v>60</v>
          </cell>
        </row>
        <row r="1655">
          <cell r="B1655">
            <v>2021151760002</v>
          </cell>
          <cell r="BP1655">
            <v>60</v>
          </cell>
        </row>
        <row r="1656">
          <cell r="B1656">
            <v>2023151760001</v>
          </cell>
          <cell r="BP1656">
            <v>40</v>
          </cell>
        </row>
        <row r="1657">
          <cell r="B1657">
            <v>2023151760003</v>
          </cell>
          <cell r="BP1657">
            <v>30</v>
          </cell>
        </row>
        <row r="1658">
          <cell r="B1658">
            <v>2025151760002</v>
          </cell>
          <cell r="BP1658">
            <v>42.6</v>
          </cell>
        </row>
        <row r="1659">
          <cell r="B1659">
            <v>2025152320001</v>
          </cell>
          <cell r="BP1659">
            <v>90</v>
          </cell>
        </row>
        <row r="1660">
          <cell r="B1660">
            <v>2026152320001</v>
          </cell>
          <cell r="BP1660">
            <v>100</v>
          </cell>
        </row>
        <row r="1661">
          <cell r="B1661">
            <v>20231301010097</v>
          </cell>
          <cell r="BP1661">
            <v>24</v>
          </cell>
        </row>
        <row r="1662">
          <cell r="B1662">
            <v>2023151800016</v>
          </cell>
          <cell r="BP1662">
            <v>0</v>
          </cell>
        </row>
        <row r="1663">
          <cell r="B1663">
            <v>2023151800023</v>
          </cell>
          <cell r="BP1663">
            <v>50</v>
          </cell>
        </row>
        <row r="1664">
          <cell r="B1664">
            <v>2025151800003</v>
          </cell>
          <cell r="BP1664">
            <v>4</v>
          </cell>
        </row>
        <row r="1665">
          <cell r="B1665">
            <v>2026151800001</v>
          </cell>
          <cell r="BP1665">
            <v>60</v>
          </cell>
        </row>
        <row r="1666">
          <cell r="B1666">
            <v>2026151830001</v>
          </cell>
          <cell r="BP1666">
            <v>0</v>
          </cell>
        </row>
        <row r="1667">
          <cell r="B1667">
            <v>2025151830003</v>
          </cell>
          <cell r="BP1667">
            <v>96.4</v>
          </cell>
        </row>
        <row r="1668">
          <cell r="B1668">
            <v>2025151830001</v>
          </cell>
          <cell r="BP1668">
            <v>54</v>
          </cell>
        </row>
        <row r="1669">
          <cell r="B1669">
            <v>2025151850001</v>
          </cell>
          <cell r="BP1669">
            <v>100</v>
          </cell>
        </row>
        <row r="1670">
          <cell r="B1670">
            <v>2025151850002</v>
          </cell>
          <cell r="BP1670">
            <v>50</v>
          </cell>
        </row>
        <row r="1671">
          <cell r="B1671">
            <v>2025151850003</v>
          </cell>
          <cell r="BP1671">
            <v>14.5</v>
          </cell>
        </row>
        <row r="1672">
          <cell r="B1672">
            <v>2025151850004</v>
          </cell>
          <cell r="BP1672">
            <v>50</v>
          </cell>
        </row>
        <row r="1673">
          <cell r="B1673">
            <v>2025151850005</v>
          </cell>
          <cell r="BP1673">
            <v>11</v>
          </cell>
        </row>
        <row r="1674">
          <cell r="B1674">
            <v>2025151870001</v>
          </cell>
          <cell r="BP1674">
            <v>100</v>
          </cell>
        </row>
        <row r="1675">
          <cell r="B1675">
            <v>2023151870020</v>
          </cell>
          <cell r="BP1675">
            <v>0</v>
          </cell>
        </row>
        <row r="1676">
          <cell r="B1676">
            <v>2026152360001</v>
          </cell>
          <cell r="BP1676">
            <v>100</v>
          </cell>
        </row>
        <row r="1677">
          <cell r="B1677">
            <v>2026151890001</v>
          </cell>
          <cell r="BP1677">
            <v>0</v>
          </cell>
        </row>
        <row r="1678">
          <cell r="B1678">
            <v>2023151890003</v>
          </cell>
          <cell r="BP1678">
            <v>42.7</v>
          </cell>
        </row>
        <row r="1679">
          <cell r="B1679">
            <v>2025152040001</v>
          </cell>
          <cell r="BP1679">
            <v>100</v>
          </cell>
        </row>
        <row r="1680">
          <cell r="B1680">
            <v>2025152040003</v>
          </cell>
          <cell r="BP1680">
            <v>47.6</v>
          </cell>
        </row>
        <row r="1681">
          <cell r="B1681">
            <v>2025152040002</v>
          </cell>
          <cell r="BP1681">
            <v>100</v>
          </cell>
        </row>
        <row r="1682">
          <cell r="B1682">
            <v>2025152120003</v>
          </cell>
          <cell r="BP1682">
            <v>72.400000000000006</v>
          </cell>
        </row>
        <row r="1683">
          <cell r="B1683">
            <v>2026152150001</v>
          </cell>
          <cell r="BP1683">
            <v>0</v>
          </cell>
        </row>
        <row r="1684">
          <cell r="B1684">
            <v>2013152230001</v>
          </cell>
          <cell r="BP1684">
            <v>30</v>
          </cell>
        </row>
        <row r="1685">
          <cell r="B1685">
            <v>2013152230002</v>
          </cell>
          <cell r="BP1685">
            <v>0</v>
          </cell>
        </row>
        <row r="1686">
          <cell r="B1686">
            <v>2025152230003</v>
          </cell>
          <cell r="BP1686">
            <v>0</v>
          </cell>
        </row>
        <row r="1687">
          <cell r="B1687">
            <v>2025152260001</v>
          </cell>
          <cell r="BP1687">
            <v>60</v>
          </cell>
        </row>
        <row r="1688">
          <cell r="B1688">
            <v>2025152480005</v>
          </cell>
          <cell r="BP1688">
            <v>100</v>
          </cell>
        </row>
        <row r="1689">
          <cell r="B1689">
            <v>2026152480001</v>
          </cell>
          <cell r="BP1689">
            <v>100</v>
          </cell>
        </row>
        <row r="1690">
          <cell r="B1690">
            <v>2025152720001</v>
          </cell>
          <cell r="BP1690">
            <v>67.3</v>
          </cell>
        </row>
        <row r="1691">
          <cell r="B1691">
            <v>2023152930021</v>
          </cell>
          <cell r="BP1691">
            <v>0</v>
          </cell>
        </row>
        <row r="1692">
          <cell r="B1692">
            <v>2025152930001</v>
          </cell>
          <cell r="BP1692">
            <v>30</v>
          </cell>
        </row>
        <row r="1693">
          <cell r="B1693">
            <v>2025152930002</v>
          </cell>
          <cell r="BP1693">
            <v>0</v>
          </cell>
        </row>
        <row r="1694">
          <cell r="B1694">
            <v>2023152960002</v>
          </cell>
          <cell r="BP1694">
            <v>44.2</v>
          </cell>
        </row>
        <row r="1695">
          <cell r="B1695">
            <v>2025152990001</v>
          </cell>
          <cell r="BP1695">
            <v>76.2</v>
          </cell>
        </row>
        <row r="1696">
          <cell r="B1696">
            <v>2022152990004</v>
          </cell>
          <cell r="BP1696">
            <v>62</v>
          </cell>
        </row>
        <row r="1697">
          <cell r="B1697">
            <v>2023152990008</v>
          </cell>
          <cell r="BP1697">
            <v>0</v>
          </cell>
        </row>
        <row r="1698">
          <cell r="B1698">
            <v>2025153170002</v>
          </cell>
          <cell r="BP1698">
            <v>2</v>
          </cell>
        </row>
        <row r="1699">
          <cell r="B1699">
            <v>2025153170004</v>
          </cell>
          <cell r="BP1699">
            <v>60</v>
          </cell>
        </row>
        <row r="1700">
          <cell r="B1700">
            <v>2025153170006</v>
          </cell>
          <cell r="BP1700">
            <v>9</v>
          </cell>
        </row>
        <row r="1701">
          <cell r="B1701">
            <v>2026153170001</v>
          </cell>
          <cell r="BP1701">
            <v>100</v>
          </cell>
        </row>
        <row r="1702">
          <cell r="B1702">
            <v>2026153170002</v>
          </cell>
          <cell r="BP1702">
            <v>100</v>
          </cell>
        </row>
        <row r="1703">
          <cell r="B1703">
            <v>2025153320002</v>
          </cell>
          <cell r="BP1703">
            <v>100</v>
          </cell>
        </row>
        <row r="1704">
          <cell r="B1704">
            <v>2025153670001</v>
          </cell>
          <cell r="BP1704">
            <v>100</v>
          </cell>
        </row>
        <row r="1705">
          <cell r="B1705">
            <v>2025153670002</v>
          </cell>
          <cell r="BP1705">
            <v>100</v>
          </cell>
        </row>
        <row r="1706">
          <cell r="B1706">
            <v>2026153680001</v>
          </cell>
          <cell r="BP1706">
            <v>60</v>
          </cell>
        </row>
        <row r="1707">
          <cell r="B1707">
            <v>2026153800001</v>
          </cell>
          <cell r="BP1707">
            <v>100</v>
          </cell>
        </row>
        <row r="1708">
          <cell r="B1708">
            <v>2025154030002</v>
          </cell>
          <cell r="BP1708">
            <v>60</v>
          </cell>
        </row>
        <row r="1709">
          <cell r="B1709">
            <v>2025154030003</v>
          </cell>
          <cell r="BP1709">
            <v>60</v>
          </cell>
        </row>
        <row r="1710">
          <cell r="B1710">
            <v>2025154010001</v>
          </cell>
          <cell r="BP1710">
            <v>89</v>
          </cell>
        </row>
        <row r="1711">
          <cell r="B1711">
            <v>2025153770001</v>
          </cell>
          <cell r="BP1711">
            <v>61.2</v>
          </cell>
        </row>
        <row r="1712">
          <cell r="B1712">
            <v>2023154420003</v>
          </cell>
          <cell r="BP1712">
            <v>35.5</v>
          </cell>
        </row>
        <row r="1713">
          <cell r="B1713">
            <v>2025154420003</v>
          </cell>
          <cell r="BP1713">
            <v>100</v>
          </cell>
        </row>
        <row r="1714">
          <cell r="B1714">
            <v>2024154640017</v>
          </cell>
          <cell r="BP1714">
            <v>30</v>
          </cell>
        </row>
        <row r="1715">
          <cell r="B1715">
            <v>2025154660004</v>
          </cell>
          <cell r="BP1715">
            <v>20</v>
          </cell>
        </row>
        <row r="1716">
          <cell r="B1716">
            <v>2025154800001</v>
          </cell>
          <cell r="BP1716">
            <v>17</v>
          </cell>
        </row>
        <row r="1717">
          <cell r="B1717">
            <v>2025154800002</v>
          </cell>
          <cell r="BP1717">
            <v>0</v>
          </cell>
        </row>
        <row r="1718">
          <cell r="B1718">
            <v>2025154800003</v>
          </cell>
          <cell r="BP1718">
            <v>0</v>
          </cell>
        </row>
        <row r="1719">
          <cell r="B1719">
            <v>2023154940013</v>
          </cell>
          <cell r="BP1719">
            <v>0</v>
          </cell>
        </row>
        <row r="1720">
          <cell r="B1720">
            <v>2023154940014</v>
          </cell>
          <cell r="BP1720">
            <v>0</v>
          </cell>
        </row>
        <row r="1721">
          <cell r="B1721">
            <v>2025154940001</v>
          </cell>
          <cell r="BP1721">
            <v>0</v>
          </cell>
        </row>
        <row r="1722">
          <cell r="B1722">
            <v>2025155000001</v>
          </cell>
          <cell r="BP1722">
            <v>53.4</v>
          </cell>
        </row>
        <row r="1723">
          <cell r="B1723">
            <v>2025155070001</v>
          </cell>
          <cell r="BP1723">
            <v>0</v>
          </cell>
        </row>
        <row r="1724">
          <cell r="B1724">
            <v>2025155110001</v>
          </cell>
          <cell r="BP1724">
            <v>50</v>
          </cell>
        </row>
        <row r="1725">
          <cell r="B1725">
            <v>2019155220001</v>
          </cell>
          <cell r="BP1725">
            <v>17.100000000000001</v>
          </cell>
        </row>
        <row r="1726">
          <cell r="B1726">
            <v>2022155370001</v>
          </cell>
          <cell r="BP1726">
            <v>0</v>
          </cell>
        </row>
        <row r="1727">
          <cell r="B1727">
            <v>2023155720041</v>
          </cell>
          <cell r="BP1727">
            <v>76</v>
          </cell>
        </row>
        <row r="1728">
          <cell r="B1728">
            <v>2025155720003</v>
          </cell>
          <cell r="BP1728">
            <v>100</v>
          </cell>
        </row>
        <row r="1729">
          <cell r="B1729">
            <v>2021155720080</v>
          </cell>
          <cell r="BP1729">
            <v>0</v>
          </cell>
        </row>
        <row r="1730">
          <cell r="B1730">
            <v>2023155720017</v>
          </cell>
          <cell r="BP1730">
            <v>20</v>
          </cell>
        </row>
        <row r="1731">
          <cell r="B1731">
            <v>2023155720025</v>
          </cell>
          <cell r="BP1731">
            <v>30</v>
          </cell>
        </row>
        <row r="1732">
          <cell r="B1732">
            <v>2024155720073</v>
          </cell>
          <cell r="BP1732">
            <v>13.5</v>
          </cell>
        </row>
        <row r="1733">
          <cell r="B1733">
            <v>2025155720001</v>
          </cell>
          <cell r="BP1733">
            <v>79.2</v>
          </cell>
        </row>
        <row r="1734">
          <cell r="B1734">
            <v>2025155720002</v>
          </cell>
          <cell r="BP1734">
            <v>0</v>
          </cell>
        </row>
        <row r="1735">
          <cell r="B1735">
            <v>2025155720004</v>
          </cell>
          <cell r="BP1735">
            <v>100</v>
          </cell>
        </row>
        <row r="1736">
          <cell r="B1736">
            <v>2025155720005</v>
          </cell>
          <cell r="BP1736">
            <v>100</v>
          </cell>
        </row>
        <row r="1737">
          <cell r="B1737">
            <v>2025155720006</v>
          </cell>
          <cell r="BP1737">
            <v>100</v>
          </cell>
        </row>
        <row r="1738">
          <cell r="B1738">
            <v>2025155720007</v>
          </cell>
          <cell r="BP1738">
            <v>81.2</v>
          </cell>
        </row>
        <row r="1739">
          <cell r="B1739">
            <v>2025155720008</v>
          </cell>
          <cell r="BP1739">
            <v>100</v>
          </cell>
        </row>
        <row r="1740">
          <cell r="B1740">
            <v>2025155800002</v>
          </cell>
          <cell r="BP1740">
            <v>60.8</v>
          </cell>
        </row>
        <row r="1741">
          <cell r="B1741">
            <v>2025155990001</v>
          </cell>
          <cell r="BP1741">
            <v>100</v>
          </cell>
        </row>
        <row r="1742">
          <cell r="B1742">
            <v>2024156000036</v>
          </cell>
          <cell r="BP1742">
            <v>95.6</v>
          </cell>
        </row>
        <row r="1743">
          <cell r="B1743">
            <v>2024156000037</v>
          </cell>
          <cell r="BP1743">
            <v>77.599999999999994</v>
          </cell>
        </row>
        <row r="1744">
          <cell r="B1744">
            <v>2025156000003</v>
          </cell>
          <cell r="BP1744">
            <v>100</v>
          </cell>
        </row>
        <row r="1745">
          <cell r="B1745">
            <v>2026156000001</v>
          </cell>
          <cell r="BP1745">
            <v>80</v>
          </cell>
        </row>
        <row r="1746">
          <cell r="B1746">
            <v>2025156210005</v>
          </cell>
          <cell r="BP1746">
            <v>81.900000000000006</v>
          </cell>
        </row>
        <row r="1747">
          <cell r="B1747">
            <v>2026156320001</v>
          </cell>
          <cell r="BP1747">
            <v>40</v>
          </cell>
        </row>
        <row r="1748">
          <cell r="B1748">
            <v>2022156460011</v>
          </cell>
          <cell r="BP1748">
            <v>89</v>
          </cell>
        </row>
        <row r="1749">
          <cell r="B1749">
            <v>2025156600001</v>
          </cell>
          <cell r="BP1749">
            <v>92</v>
          </cell>
        </row>
        <row r="1750">
          <cell r="B1750">
            <v>2025156670003</v>
          </cell>
          <cell r="BP1750">
            <v>0</v>
          </cell>
        </row>
        <row r="1751">
          <cell r="B1751">
            <v>2025156670005</v>
          </cell>
          <cell r="BP1751">
            <v>0</v>
          </cell>
        </row>
        <row r="1752">
          <cell r="B1752">
            <v>2025156730001</v>
          </cell>
          <cell r="BP1752">
            <v>25.4</v>
          </cell>
        </row>
        <row r="1753">
          <cell r="B1753">
            <v>2025156730002</v>
          </cell>
          <cell r="BP1753">
            <v>1.8</v>
          </cell>
        </row>
        <row r="1754">
          <cell r="B1754">
            <v>2026156730001</v>
          </cell>
          <cell r="BP1754">
            <v>75</v>
          </cell>
        </row>
        <row r="1755">
          <cell r="B1755">
            <v>2024156760020</v>
          </cell>
          <cell r="BP1755">
            <v>0</v>
          </cell>
        </row>
        <row r="1756">
          <cell r="B1756">
            <v>2024156760044</v>
          </cell>
          <cell r="BP1756">
            <v>0</v>
          </cell>
        </row>
        <row r="1757">
          <cell r="B1757">
            <v>2025156760002</v>
          </cell>
          <cell r="BP1757">
            <v>22.4</v>
          </cell>
        </row>
        <row r="1758">
          <cell r="B1758">
            <v>2025156810002</v>
          </cell>
          <cell r="BP1758">
            <v>100</v>
          </cell>
        </row>
        <row r="1759">
          <cell r="B1759">
            <v>2023156900022</v>
          </cell>
          <cell r="BP1759">
            <v>73.8</v>
          </cell>
        </row>
        <row r="1760">
          <cell r="B1760">
            <v>2025157200001</v>
          </cell>
          <cell r="BP1760">
            <v>23.5</v>
          </cell>
        </row>
        <row r="1761">
          <cell r="B1761">
            <v>2026157230001</v>
          </cell>
          <cell r="BP1761">
            <v>89</v>
          </cell>
        </row>
        <row r="1762">
          <cell r="B1762">
            <v>2025157400001</v>
          </cell>
          <cell r="BP1762">
            <v>50</v>
          </cell>
        </row>
        <row r="1763">
          <cell r="B1763">
            <v>2022157530048</v>
          </cell>
          <cell r="BP1763">
            <v>23</v>
          </cell>
        </row>
        <row r="1764">
          <cell r="B1764">
            <v>2025157570006</v>
          </cell>
          <cell r="BP1764">
            <v>87.6</v>
          </cell>
        </row>
        <row r="1765">
          <cell r="B1765">
            <v>2025157570007</v>
          </cell>
          <cell r="BP1765">
            <v>53.4</v>
          </cell>
        </row>
        <row r="1766">
          <cell r="B1766">
            <v>2023157570001</v>
          </cell>
          <cell r="BP1766">
            <v>0</v>
          </cell>
        </row>
        <row r="1767">
          <cell r="B1767">
            <v>2023157570003</v>
          </cell>
          <cell r="BP1767">
            <v>0</v>
          </cell>
        </row>
        <row r="1768">
          <cell r="B1768">
            <v>2024157570023</v>
          </cell>
          <cell r="BP1768">
            <v>50</v>
          </cell>
        </row>
        <row r="1769">
          <cell r="B1769">
            <v>2025157550001</v>
          </cell>
          <cell r="BP1769">
            <v>61.2</v>
          </cell>
        </row>
        <row r="1770">
          <cell r="B1770">
            <v>2023157590001</v>
          </cell>
          <cell r="BP1770">
            <v>5.5</v>
          </cell>
        </row>
        <row r="1771">
          <cell r="B1771">
            <v>2025157610002</v>
          </cell>
          <cell r="BP1771">
            <v>100</v>
          </cell>
        </row>
        <row r="1772">
          <cell r="B1772">
            <v>2024157620009</v>
          </cell>
          <cell r="BP1772">
            <v>90</v>
          </cell>
        </row>
        <row r="1773">
          <cell r="B1773">
            <v>2023157640005</v>
          </cell>
          <cell r="BP1773">
            <v>0</v>
          </cell>
        </row>
        <row r="1774">
          <cell r="B1774">
            <v>2025157630002</v>
          </cell>
          <cell r="BP1774">
            <v>90.4</v>
          </cell>
        </row>
        <row r="1775">
          <cell r="B1775">
            <v>2022157630035</v>
          </cell>
          <cell r="BP1775">
            <v>0</v>
          </cell>
        </row>
        <row r="1776">
          <cell r="B1776">
            <v>2023157630003</v>
          </cell>
          <cell r="BP1776">
            <v>0</v>
          </cell>
        </row>
        <row r="1777">
          <cell r="B1777">
            <v>2025157740001</v>
          </cell>
          <cell r="BP1777">
            <v>36</v>
          </cell>
        </row>
        <row r="1778">
          <cell r="B1778">
            <v>2023157760010</v>
          </cell>
          <cell r="BP1778">
            <v>0</v>
          </cell>
        </row>
        <row r="1779">
          <cell r="B1779">
            <v>2026157900001</v>
          </cell>
          <cell r="BP1779">
            <v>40</v>
          </cell>
        </row>
        <row r="1780">
          <cell r="B1780">
            <v>2025157900005</v>
          </cell>
          <cell r="BP1780">
            <v>100</v>
          </cell>
        </row>
        <row r="1781">
          <cell r="B1781">
            <v>2025157900006</v>
          </cell>
          <cell r="BP1781">
            <v>100</v>
          </cell>
        </row>
        <row r="1782">
          <cell r="B1782">
            <v>2024157980019</v>
          </cell>
          <cell r="BP1782">
            <v>0</v>
          </cell>
        </row>
        <row r="1783">
          <cell r="B1783">
            <v>2025157980003</v>
          </cell>
          <cell r="BP1783">
            <v>100</v>
          </cell>
        </row>
        <row r="1784">
          <cell r="B1784">
            <v>2025158040001</v>
          </cell>
          <cell r="BP1784">
            <v>100</v>
          </cell>
        </row>
        <row r="1785">
          <cell r="B1785">
            <v>2025158040002</v>
          </cell>
          <cell r="BP1785">
            <v>100</v>
          </cell>
        </row>
        <row r="1786">
          <cell r="B1786">
            <v>2026158040002</v>
          </cell>
          <cell r="BP1786">
            <v>100</v>
          </cell>
        </row>
        <row r="1787">
          <cell r="B1787">
            <v>2025158060001</v>
          </cell>
          <cell r="BP1787">
            <v>96.4</v>
          </cell>
        </row>
        <row r="1788">
          <cell r="B1788">
            <v>2025158100001</v>
          </cell>
          <cell r="BP1788">
            <v>45.8</v>
          </cell>
        </row>
        <row r="1789">
          <cell r="B1789">
            <v>2025158100004</v>
          </cell>
          <cell r="BP1789">
            <v>92.4</v>
          </cell>
        </row>
        <row r="1790">
          <cell r="B1790">
            <v>2026158140001</v>
          </cell>
          <cell r="BP1790">
            <v>100</v>
          </cell>
        </row>
        <row r="1791">
          <cell r="B1791">
            <v>2025158140001</v>
          </cell>
          <cell r="BP1791">
            <v>0</v>
          </cell>
        </row>
        <row r="1792">
          <cell r="B1792">
            <v>2025158200004</v>
          </cell>
          <cell r="BP1792">
            <v>100</v>
          </cell>
        </row>
        <row r="1793">
          <cell r="B1793">
            <v>2025158200001</v>
          </cell>
          <cell r="BP1793">
            <v>100</v>
          </cell>
        </row>
        <row r="1794">
          <cell r="B1794">
            <v>2025158220002</v>
          </cell>
          <cell r="BP1794">
            <v>92</v>
          </cell>
        </row>
        <row r="1795">
          <cell r="B1795">
            <v>2025158350001</v>
          </cell>
          <cell r="BP1795">
            <v>47.4</v>
          </cell>
        </row>
        <row r="1796">
          <cell r="B1796">
            <v>2026158350001</v>
          </cell>
          <cell r="BP1796">
            <v>100</v>
          </cell>
        </row>
        <row r="1797">
          <cell r="B1797">
            <v>2025158370001</v>
          </cell>
          <cell r="BP1797">
            <v>85.2</v>
          </cell>
        </row>
        <row r="1798">
          <cell r="B1798">
            <v>2023158370043</v>
          </cell>
          <cell r="BP1798">
            <v>9.5</v>
          </cell>
        </row>
        <row r="1799">
          <cell r="B1799">
            <v>2025158390001</v>
          </cell>
          <cell r="BP1799">
            <v>53.4</v>
          </cell>
        </row>
        <row r="1800">
          <cell r="B1800">
            <v>2025158610002</v>
          </cell>
          <cell r="BP1800">
            <v>60</v>
          </cell>
        </row>
        <row r="1801">
          <cell r="B1801">
            <v>2026158610001</v>
          </cell>
          <cell r="BP1801">
            <v>0</v>
          </cell>
        </row>
        <row r="1802">
          <cell r="B1802">
            <v>2025158790001</v>
          </cell>
          <cell r="BP1802">
            <v>89.2</v>
          </cell>
        </row>
        <row r="1803">
          <cell r="B1803">
            <v>2025158970001</v>
          </cell>
          <cell r="BP1803">
            <v>60</v>
          </cell>
        </row>
        <row r="1804">
          <cell r="B1804">
            <v>2024170420022</v>
          </cell>
          <cell r="BP1804">
            <v>0</v>
          </cell>
        </row>
        <row r="1805">
          <cell r="B1805">
            <v>2025170420001</v>
          </cell>
          <cell r="BP1805">
            <v>100</v>
          </cell>
        </row>
        <row r="1806">
          <cell r="B1806">
            <v>2025170420002</v>
          </cell>
          <cell r="BP1806">
            <v>79.2</v>
          </cell>
        </row>
        <row r="1807">
          <cell r="B1807">
            <v>2025170420003</v>
          </cell>
          <cell r="BP1807">
            <v>100</v>
          </cell>
        </row>
        <row r="1808">
          <cell r="B1808">
            <v>2024170420005</v>
          </cell>
          <cell r="BP1808">
            <v>100</v>
          </cell>
        </row>
        <row r="1809">
          <cell r="B1809">
            <v>2022170500041</v>
          </cell>
          <cell r="BP1809">
            <v>0</v>
          </cell>
        </row>
        <row r="1810">
          <cell r="B1810">
            <v>2026170500001</v>
          </cell>
          <cell r="BP1810">
            <v>0</v>
          </cell>
        </row>
        <row r="1811">
          <cell r="B1811">
            <v>2025170880001</v>
          </cell>
          <cell r="BP1811">
            <v>100</v>
          </cell>
        </row>
        <row r="1812">
          <cell r="B1812">
            <v>2021170880005</v>
          </cell>
          <cell r="BP1812">
            <v>100</v>
          </cell>
        </row>
        <row r="1813">
          <cell r="B1813">
            <v>2023003170030</v>
          </cell>
          <cell r="BP1813">
            <v>60</v>
          </cell>
        </row>
        <row r="1814">
          <cell r="B1814">
            <v>2024003170101</v>
          </cell>
          <cell r="BP1814">
            <v>100</v>
          </cell>
        </row>
        <row r="1815">
          <cell r="B1815">
            <v>2025003170006</v>
          </cell>
          <cell r="BP1815">
            <v>40</v>
          </cell>
        </row>
        <row r="1816">
          <cell r="B1816">
            <v>2025003170016</v>
          </cell>
          <cell r="BP1816">
            <v>40</v>
          </cell>
        </row>
        <row r="1817">
          <cell r="B1817">
            <v>2021000100368</v>
          </cell>
          <cell r="BP1817">
            <v>34</v>
          </cell>
        </row>
        <row r="1818">
          <cell r="B1818">
            <v>2023000040002</v>
          </cell>
          <cell r="BP1818">
            <v>100</v>
          </cell>
        </row>
        <row r="1819">
          <cell r="B1819">
            <v>2018000100112</v>
          </cell>
          <cell r="BP1819">
            <v>92</v>
          </cell>
        </row>
        <row r="1820">
          <cell r="B1820">
            <v>2019000040025</v>
          </cell>
          <cell r="BP1820">
            <v>0</v>
          </cell>
        </row>
        <row r="1821">
          <cell r="B1821">
            <v>2020000040026</v>
          </cell>
          <cell r="BP1821">
            <v>100</v>
          </cell>
        </row>
        <row r="1822">
          <cell r="B1822">
            <v>2021003170045</v>
          </cell>
          <cell r="BP1822">
            <v>6.5</v>
          </cell>
        </row>
        <row r="1823">
          <cell r="B1823">
            <v>2021003170059</v>
          </cell>
          <cell r="BP1823">
            <v>100</v>
          </cell>
        </row>
        <row r="1824">
          <cell r="B1824">
            <v>2023000040006</v>
          </cell>
          <cell r="BP1824">
            <v>29</v>
          </cell>
        </row>
        <row r="1825">
          <cell r="B1825">
            <v>2023003170002</v>
          </cell>
          <cell r="BP1825">
            <v>0</v>
          </cell>
        </row>
        <row r="1826">
          <cell r="B1826">
            <v>2023003170006</v>
          </cell>
          <cell r="BP1826">
            <v>60</v>
          </cell>
        </row>
        <row r="1827">
          <cell r="B1827">
            <v>2023003170014</v>
          </cell>
          <cell r="BP1827">
            <v>98</v>
          </cell>
        </row>
        <row r="1828">
          <cell r="B1828">
            <v>2023003170015</v>
          </cell>
          <cell r="BP1828">
            <v>96</v>
          </cell>
        </row>
        <row r="1829">
          <cell r="B1829">
            <v>2024000040002</v>
          </cell>
          <cell r="BP1829">
            <v>100</v>
          </cell>
        </row>
        <row r="1830">
          <cell r="B1830">
            <v>2024003170094</v>
          </cell>
          <cell r="BP1830">
            <v>100</v>
          </cell>
        </row>
        <row r="1831">
          <cell r="B1831">
            <v>2025003170023</v>
          </cell>
          <cell r="BP1831">
            <v>100</v>
          </cell>
        </row>
        <row r="1832">
          <cell r="B1832">
            <v>2025003170025</v>
          </cell>
          <cell r="BP1832">
            <v>100</v>
          </cell>
        </row>
        <row r="1833">
          <cell r="B1833">
            <v>2024003170095</v>
          </cell>
          <cell r="BP1833">
            <v>100</v>
          </cell>
        </row>
        <row r="1834">
          <cell r="B1834">
            <v>2024000040003</v>
          </cell>
          <cell r="BP1834">
            <v>100</v>
          </cell>
        </row>
        <row r="1835">
          <cell r="B1835">
            <v>2023003170011</v>
          </cell>
          <cell r="BP1835">
            <v>100</v>
          </cell>
        </row>
        <row r="1836">
          <cell r="B1836">
            <v>2024003170007</v>
          </cell>
          <cell r="BP1836">
            <v>50</v>
          </cell>
        </row>
        <row r="1837">
          <cell r="B1837">
            <v>2024003170102</v>
          </cell>
          <cell r="BP1837">
            <v>100</v>
          </cell>
        </row>
        <row r="1838">
          <cell r="B1838">
            <v>2025003170001</v>
          </cell>
          <cell r="BP1838">
            <v>100</v>
          </cell>
        </row>
        <row r="1839">
          <cell r="B1839">
            <v>2024003170096</v>
          </cell>
          <cell r="BP1839">
            <v>86.4</v>
          </cell>
        </row>
        <row r="1840">
          <cell r="B1840">
            <v>2024003170085</v>
          </cell>
          <cell r="BP1840">
            <v>100</v>
          </cell>
        </row>
        <row r="1841">
          <cell r="B1841">
            <v>2024003170013</v>
          </cell>
          <cell r="BP1841">
            <v>36.799999999999997</v>
          </cell>
        </row>
        <row r="1842">
          <cell r="B1842">
            <v>2024003170098</v>
          </cell>
          <cell r="BP1842">
            <v>100</v>
          </cell>
        </row>
        <row r="1843">
          <cell r="B1843">
            <v>2024003170099</v>
          </cell>
          <cell r="BP1843">
            <v>35.5</v>
          </cell>
        </row>
        <row r="1844">
          <cell r="B1844">
            <v>2025003170015</v>
          </cell>
          <cell r="BP1844">
            <v>60</v>
          </cell>
        </row>
        <row r="1845">
          <cell r="B1845">
            <v>2025003170018</v>
          </cell>
          <cell r="BP1845">
            <v>60</v>
          </cell>
        </row>
        <row r="1846">
          <cell r="B1846">
            <v>2024000100132</v>
          </cell>
          <cell r="BP1846">
            <v>35.6</v>
          </cell>
        </row>
        <row r="1847">
          <cell r="B1847">
            <v>2017000100112</v>
          </cell>
          <cell r="BP1847">
            <v>46.5</v>
          </cell>
        </row>
        <row r="1848">
          <cell r="B1848">
            <v>2021000100028</v>
          </cell>
          <cell r="BP1848">
            <v>100</v>
          </cell>
        </row>
        <row r="1849">
          <cell r="B1849">
            <v>2021000100132</v>
          </cell>
          <cell r="BP1849">
            <v>100</v>
          </cell>
        </row>
        <row r="1850">
          <cell r="B1850">
            <v>2021000100483</v>
          </cell>
          <cell r="BP1850">
            <v>81.2</v>
          </cell>
        </row>
        <row r="1851">
          <cell r="B1851">
            <v>2024000100114</v>
          </cell>
          <cell r="BP1851">
            <v>40</v>
          </cell>
        </row>
        <row r="1852">
          <cell r="B1852">
            <v>2022000100035</v>
          </cell>
          <cell r="BP1852">
            <v>100</v>
          </cell>
        </row>
        <row r="1853">
          <cell r="B1853">
            <v>2022000100101</v>
          </cell>
          <cell r="BP1853">
            <v>100</v>
          </cell>
        </row>
        <row r="1854">
          <cell r="B1854">
            <v>2025171740003</v>
          </cell>
          <cell r="BP1854">
            <v>30.8</v>
          </cell>
        </row>
        <row r="1855">
          <cell r="B1855">
            <v>2026171740001</v>
          </cell>
          <cell r="BP1855">
            <v>40</v>
          </cell>
        </row>
        <row r="1856">
          <cell r="B1856">
            <v>2023171740070</v>
          </cell>
          <cell r="BP1856">
            <v>96</v>
          </cell>
        </row>
        <row r="1857">
          <cell r="B1857">
            <v>2021172720067</v>
          </cell>
          <cell r="BP1857">
            <v>16</v>
          </cell>
        </row>
        <row r="1858">
          <cell r="B1858">
            <v>2019172720019</v>
          </cell>
          <cell r="BP1858">
            <v>0</v>
          </cell>
        </row>
        <row r="1859">
          <cell r="B1859">
            <v>2026172720001</v>
          </cell>
          <cell r="BP1859">
            <v>100</v>
          </cell>
        </row>
        <row r="1860">
          <cell r="B1860">
            <v>2023172720037</v>
          </cell>
          <cell r="BP1860">
            <v>0</v>
          </cell>
        </row>
        <row r="1861">
          <cell r="B1861">
            <v>2022173800096</v>
          </cell>
          <cell r="BP1861">
            <v>0</v>
          </cell>
        </row>
        <row r="1862">
          <cell r="B1862">
            <v>2022173800105</v>
          </cell>
          <cell r="BP1862">
            <v>26.7</v>
          </cell>
        </row>
        <row r="1863">
          <cell r="B1863">
            <v>2025173800002</v>
          </cell>
          <cell r="BP1863">
            <v>84</v>
          </cell>
        </row>
        <row r="1864">
          <cell r="B1864">
            <v>2025173880002</v>
          </cell>
          <cell r="BP1864">
            <v>100</v>
          </cell>
        </row>
        <row r="1865">
          <cell r="B1865">
            <v>2025173880003</v>
          </cell>
          <cell r="BP1865">
            <v>40</v>
          </cell>
        </row>
        <row r="1866">
          <cell r="B1866">
            <v>2025173880001</v>
          </cell>
          <cell r="BP1866">
            <v>100</v>
          </cell>
        </row>
        <row r="1867">
          <cell r="B1867">
            <v>2026173880001</v>
          </cell>
          <cell r="BP1867">
            <v>60</v>
          </cell>
        </row>
        <row r="1868">
          <cell r="B1868">
            <v>2025174330002</v>
          </cell>
          <cell r="BP1868">
            <v>48.6</v>
          </cell>
        </row>
        <row r="1869">
          <cell r="B1869">
            <v>2025174330003</v>
          </cell>
          <cell r="BP1869">
            <v>45</v>
          </cell>
        </row>
        <row r="1870">
          <cell r="B1870">
            <v>2025174330004</v>
          </cell>
          <cell r="BP1870">
            <v>0</v>
          </cell>
        </row>
        <row r="1871">
          <cell r="B1871">
            <v>2021174420028</v>
          </cell>
          <cell r="BP1871">
            <v>80.400000000000006</v>
          </cell>
        </row>
        <row r="1872">
          <cell r="B1872">
            <v>2023174420028</v>
          </cell>
          <cell r="BP1872">
            <v>100</v>
          </cell>
        </row>
        <row r="1873">
          <cell r="B1873">
            <v>2023174420027</v>
          </cell>
          <cell r="BP1873">
            <v>0</v>
          </cell>
        </row>
        <row r="1874">
          <cell r="B1874">
            <v>2025174440004</v>
          </cell>
          <cell r="BP1874">
            <v>100</v>
          </cell>
        </row>
        <row r="1875">
          <cell r="B1875">
            <v>2025174440005</v>
          </cell>
          <cell r="BP1875">
            <v>80</v>
          </cell>
        </row>
        <row r="1876">
          <cell r="B1876">
            <v>2026174440001</v>
          </cell>
          <cell r="BP1876">
            <v>89</v>
          </cell>
        </row>
        <row r="1877">
          <cell r="B1877">
            <v>2025174460002</v>
          </cell>
          <cell r="BP1877">
            <v>60</v>
          </cell>
        </row>
        <row r="1878">
          <cell r="B1878">
            <v>2025174460003</v>
          </cell>
          <cell r="BP1878">
            <v>40</v>
          </cell>
        </row>
        <row r="1879">
          <cell r="B1879">
            <v>2026174950001</v>
          </cell>
          <cell r="BP1879">
            <v>40</v>
          </cell>
        </row>
        <row r="1880">
          <cell r="B1880">
            <v>2025175240001</v>
          </cell>
          <cell r="BP1880">
            <v>60</v>
          </cell>
        </row>
        <row r="1881">
          <cell r="B1881">
            <v>2022175410004</v>
          </cell>
          <cell r="BP1881">
            <v>0</v>
          </cell>
        </row>
        <row r="1882">
          <cell r="B1882">
            <v>2025175410001</v>
          </cell>
          <cell r="BP1882">
            <v>100</v>
          </cell>
        </row>
        <row r="1883">
          <cell r="B1883">
            <v>2025175410002</v>
          </cell>
          <cell r="BP1883">
            <v>50</v>
          </cell>
        </row>
        <row r="1884">
          <cell r="B1884">
            <v>2021176140002</v>
          </cell>
          <cell r="BP1884">
            <v>65.900000000000006</v>
          </cell>
        </row>
        <row r="1885">
          <cell r="B1885">
            <v>2025176160002</v>
          </cell>
          <cell r="BP1885">
            <v>41.7</v>
          </cell>
        </row>
        <row r="1886">
          <cell r="B1886">
            <v>2025176160003</v>
          </cell>
          <cell r="BP1886">
            <v>72.3</v>
          </cell>
        </row>
        <row r="1887">
          <cell r="B1887">
            <v>2025176530001</v>
          </cell>
          <cell r="BP1887">
            <v>50</v>
          </cell>
        </row>
        <row r="1888">
          <cell r="B1888">
            <v>2025176650002</v>
          </cell>
          <cell r="BP1888">
            <v>40</v>
          </cell>
        </row>
        <row r="1889">
          <cell r="B1889">
            <v>2025177770001</v>
          </cell>
          <cell r="BP1889">
            <v>8</v>
          </cell>
        </row>
        <row r="1890">
          <cell r="B1890">
            <v>2025177770002</v>
          </cell>
          <cell r="BP1890">
            <v>49</v>
          </cell>
        </row>
        <row r="1891">
          <cell r="B1891">
            <v>2025177770003</v>
          </cell>
          <cell r="BP1891">
            <v>5.5</v>
          </cell>
        </row>
        <row r="1892">
          <cell r="B1892">
            <v>2023177770020</v>
          </cell>
          <cell r="BP1892">
            <v>61.2</v>
          </cell>
        </row>
        <row r="1893">
          <cell r="B1893">
            <v>2023178670028</v>
          </cell>
          <cell r="BP1893">
            <v>4</v>
          </cell>
        </row>
        <row r="1894">
          <cell r="B1894">
            <v>2025178670002</v>
          </cell>
          <cell r="BP1894">
            <v>100</v>
          </cell>
        </row>
        <row r="1895">
          <cell r="B1895">
            <v>2025178670004</v>
          </cell>
          <cell r="BP1895">
            <v>100</v>
          </cell>
        </row>
        <row r="1896">
          <cell r="B1896">
            <v>2025178670003</v>
          </cell>
          <cell r="BP1896">
            <v>0</v>
          </cell>
        </row>
        <row r="1897">
          <cell r="B1897">
            <v>2025178670005</v>
          </cell>
          <cell r="BP1897">
            <v>0</v>
          </cell>
        </row>
        <row r="1898">
          <cell r="B1898">
            <v>2025178730002</v>
          </cell>
          <cell r="BP1898">
            <v>100</v>
          </cell>
        </row>
        <row r="1899">
          <cell r="B1899">
            <v>2025178730001</v>
          </cell>
          <cell r="BP1899">
            <v>0</v>
          </cell>
        </row>
        <row r="1900">
          <cell r="B1900">
            <v>20201301011002</v>
          </cell>
          <cell r="BP1900">
            <v>0</v>
          </cell>
        </row>
        <row r="1901">
          <cell r="B1901">
            <v>2026180290001</v>
          </cell>
          <cell r="BP1901">
            <v>60</v>
          </cell>
        </row>
        <row r="1902">
          <cell r="B1902">
            <v>2024180290021</v>
          </cell>
          <cell r="BP1902">
            <v>0</v>
          </cell>
        </row>
        <row r="1903">
          <cell r="B1903">
            <v>2025180290001</v>
          </cell>
          <cell r="BP1903">
            <v>60</v>
          </cell>
        </row>
        <row r="1904">
          <cell r="B1904">
            <v>20231301010160</v>
          </cell>
          <cell r="BP1904">
            <v>89</v>
          </cell>
        </row>
        <row r="1905">
          <cell r="B1905" t="str">
            <v>2024I00010032</v>
          </cell>
          <cell r="BP1905">
            <v>0</v>
          </cell>
        </row>
        <row r="1906">
          <cell r="B1906">
            <v>20201301011099</v>
          </cell>
          <cell r="BP1906">
            <v>100</v>
          </cell>
        </row>
        <row r="1907">
          <cell r="B1907">
            <v>20211301010336</v>
          </cell>
          <cell r="BP1907">
            <v>100</v>
          </cell>
        </row>
        <row r="1908">
          <cell r="B1908">
            <v>2024180940044</v>
          </cell>
          <cell r="BP1908">
            <v>48</v>
          </cell>
        </row>
        <row r="1909">
          <cell r="B1909">
            <v>20201301010326</v>
          </cell>
          <cell r="BP1909">
            <v>100</v>
          </cell>
        </row>
        <row r="1910">
          <cell r="B1910" t="str">
            <v>2024I00010026</v>
          </cell>
          <cell r="BP1910">
            <v>44.5</v>
          </cell>
        </row>
        <row r="1911">
          <cell r="B1911">
            <v>2022006180016</v>
          </cell>
          <cell r="BP1911">
            <v>41</v>
          </cell>
        </row>
        <row r="1912">
          <cell r="B1912">
            <v>2013000060042</v>
          </cell>
          <cell r="BP1912">
            <v>30</v>
          </cell>
        </row>
        <row r="1913">
          <cell r="B1913">
            <v>2013000100051</v>
          </cell>
          <cell r="BP1913">
            <v>20.5</v>
          </cell>
        </row>
        <row r="1914">
          <cell r="B1914">
            <v>2013000100182</v>
          </cell>
          <cell r="BP1914">
            <v>12</v>
          </cell>
        </row>
        <row r="1915">
          <cell r="B1915">
            <v>2013000100269</v>
          </cell>
          <cell r="BP1915">
            <v>2</v>
          </cell>
        </row>
        <row r="1916">
          <cell r="B1916">
            <v>2015000100084</v>
          </cell>
          <cell r="BP1916">
            <v>48</v>
          </cell>
        </row>
        <row r="1917">
          <cell r="B1917">
            <v>2022006180067</v>
          </cell>
          <cell r="BP1917">
            <v>100</v>
          </cell>
        </row>
        <row r="1918">
          <cell r="B1918">
            <v>2022006180078</v>
          </cell>
          <cell r="BP1918">
            <v>0</v>
          </cell>
        </row>
        <row r="1919">
          <cell r="B1919">
            <v>2024006180102</v>
          </cell>
          <cell r="BP1919">
            <v>60</v>
          </cell>
        </row>
        <row r="1920">
          <cell r="B1920">
            <v>2024006180103</v>
          </cell>
          <cell r="BP1920">
            <v>0</v>
          </cell>
        </row>
        <row r="1921">
          <cell r="B1921">
            <v>2024006180116</v>
          </cell>
          <cell r="BP1921">
            <v>100</v>
          </cell>
        </row>
        <row r="1922">
          <cell r="B1922">
            <v>2024006180127</v>
          </cell>
          <cell r="BP1922">
            <v>100</v>
          </cell>
        </row>
        <row r="1923">
          <cell r="B1923">
            <v>2024006180137</v>
          </cell>
          <cell r="BP1923">
            <v>100</v>
          </cell>
        </row>
        <row r="1924">
          <cell r="B1924">
            <v>2025000060016</v>
          </cell>
          <cell r="BP1924">
            <v>100</v>
          </cell>
        </row>
        <row r="1925">
          <cell r="B1925">
            <v>2025006180005</v>
          </cell>
          <cell r="BP1925">
            <v>100</v>
          </cell>
        </row>
        <row r="1926">
          <cell r="B1926">
            <v>2025006180029</v>
          </cell>
          <cell r="BP1926">
            <v>60</v>
          </cell>
        </row>
        <row r="1927">
          <cell r="B1927">
            <v>2025006180037</v>
          </cell>
          <cell r="BP1927">
            <v>60</v>
          </cell>
        </row>
        <row r="1928">
          <cell r="B1928">
            <v>20251301010085</v>
          </cell>
          <cell r="BP1928">
            <v>100</v>
          </cell>
        </row>
        <row r="1929">
          <cell r="B1929">
            <v>20251301010674</v>
          </cell>
          <cell r="BP1929">
            <v>100</v>
          </cell>
        </row>
        <row r="1930">
          <cell r="B1930">
            <v>20201301011524</v>
          </cell>
          <cell r="BP1930">
            <v>100</v>
          </cell>
        </row>
        <row r="1931">
          <cell r="B1931">
            <v>2023006180038</v>
          </cell>
          <cell r="BP1931">
            <v>44.5</v>
          </cell>
        </row>
        <row r="1932">
          <cell r="B1932">
            <v>20191301010045</v>
          </cell>
          <cell r="BP1932">
            <v>100</v>
          </cell>
        </row>
        <row r="1933">
          <cell r="B1933">
            <v>20191301010226</v>
          </cell>
          <cell r="BP1933">
            <v>48.6</v>
          </cell>
        </row>
        <row r="1934">
          <cell r="B1934">
            <v>2019000060027</v>
          </cell>
          <cell r="BP1934">
            <v>13.5</v>
          </cell>
        </row>
        <row r="1935">
          <cell r="B1935">
            <v>2013000060094</v>
          </cell>
          <cell r="BP1935">
            <v>0</v>
          </cell>
        </row>
        <row r="1936">
          <cell r="B1936">
            <v>2021006180089</v>
          </cell>
          <cell r="BP1936">
            <v>23</v>
          </cell>
        </row>
        <row r="1937">
          <cell r="B1937">
            <v>2024006180040</v>
          </cell>
          <cell r="BP1937">
            <v>50</v>
          </cell>
        </row>
        <row r="1938">
          <cell r="B1938">
            <v>2024006180043</v>
          </cell>
          <cell r="BP1938">
            <v>100</v>
          </cell>
        </row>
        <row r="1939">
          <cell r="B1939">
            <v>2024006180045</v>
          </cell>
          <cell r="BP1939">
            <v>0</v>
          </cell>
        </row>
        <row r="1940">
          <cell r="B1940">
            <v>2024006180099</v>
          </cell>
          <cell r="BP1940">
            <v>1</v>
          </cell>
        </row>
        <row r="1941">
          <cell r="B1941">
            <v>2024006180109</v>
          </cell>
          <cell r="BP1941">
            <v>65.2</v>
          </cell>
        </row>
        <row r="1942">
          <cell r="B1942">
            <v>2024006180110</v>
          </cell>
          <cell r="BP1942">
            <v>80.8</v>
          </cell>
        </row>
        <row r="1943">
          <cell r="B1943">
            <v>2024006180114</v>
          </cell>
          <cell r="BP1943">
            <v>100</v>
          </cell>
        </row>
        <row r="1944">
          <cell r="B1944">
            <v>2024006180115</v>
          </cell>
          <cell r="BP1944">
            <v>0</v>
          </cell>
        </row>
        <row r="1945">
          <cell r="B1945">
            <v>2024006180120</v>
          </cell>
          <cell r="BP1945">
            <v>85.6</v>
          </cell>
        </row>
        <row r="1946">
          <cell r="B1946">
            <v>2024006180121</v>
          </cell>
          <cell r="BP1946">
            <v>58</v>
          </cell>
        </row>
        <row r="1947">
          <cell r="B1947">
            <v>2024006180122</v>
          </cell>
          <cell r="BP1947">
            <v>50</v>
          </cell>
        </row>
        <row r="1948">
          <cell r="B1948">
            <v>2024006180125</v>
          </cell>
          <cell r="BP1948">
            <v>96.4</v>
          </cell>
        </row>
        <row r="1949">
          <cell r="B1949">
            <v>2024006180126</v>
          </cell>
          <cell r="BP1949">
            <v>93.6</v>
          </cell>
        </row>
        <row r="1950">
          <cell r="B1950">
            <v>2024006180134</v>
          </cell>
          <cell r="BP1950">
            <v>55.2</v>
          </cell>
        </row>
        <row r="1951">
          <cell r="B1951">
            <v>2024006180135</v>
          </cell>
          <cell r="BP1951">
            <v>0</v>
          </cell>
        </row>
        <row r="1952">
          <cell r="B1952">
            <v>2024006180136</v>
          </cell>
          <cell r="BP1952">
            <v>100</v>
          </cell>
        </row>
        <row r="1953">
          <cell r="B1953">
            <v>20241301010019</v>
          </cell>
          <cell r="BP1953">
            <v>78.8</v>
          </cell>
        </row>
        <row r="1954">
          <cell r="B1954">
            <v>20241301010037</v>
          </cell>
          <cell r="BP1954">
            <v>100</v>
          </cell>
        </row>
        <row r="1955">
          <cell r="B1955">
            <v>20241301010081</v>
          </cell>
          <cell r="BP1955">
            <v>0</v>
          </cell>
        </row>
        <row r="1956">
          <cell r="B1956">
            <v>20241301010093</v>
          </cell>
          <cell r="BP1956">
            <v>30</v>
          </cell>
        </row>
        <row r="1957">
          <cell r="B1957">
            <v>20241301010099</v>
          </cell>
          <cell r="BP1957">
            <v>2</v>
          </cell>
        </row>
        <row r="1958">
          <cell r="B1958">
            <v>20241301010100</v>
          </cell>
          <cell r="BP1958">
            <v>16.5</v>
          </cell>
        </row>
        <row r="1959">
          <cell r="B1959">
            <v>20241301010217</v>
          </cell>
          <cell r="BP1959">
            <v>84</v>
          </cell>
        </row>
        <row r="1960">
          <cell r="B1960">
            <v>20241301010246</v>
          </cell>
          <cell r="BP1960">
            <v>40</v>
          </cell>
        </row>
        <row r="1961">
          <cell r="B1961">
            <v>20241301010353</v>
          </cell>
          <cell r="BP1961">
            <v>93.6</v>
          </cell>
        </row>
        <row r="1962">
          <cell r="B1962">
            <v>2025006180002</v>
          </cell>
          <cell r="BP1962">
            <v>60</v>
          </cell>
        </row>
        <row r="1963">
          <cell r="B1963">
            <v>2025006180006</v>
          </cell>
          <cell r="BP1963">
            <v>37.6</v>
          </cell>
        </row>
        <row r="1964">
          <cell r="B1964">
            <v>2025006180015</v>
          </cell>
          <cell r="BP1964">
            <v>40</v>
          </cell>
        </row>
        <row r="1965">
          <cell r="B1965">
            <v>2025006180034</v>
          </cell>
          <cell r="BP1965">
            <v>100</v>
          </cell>
        </row>
        <row r="1966">
          <cell r="B1966">
            <v>2021000100035</v>
          </cell>
          <cell r="BP1966">
            <v>70.8</v>
          </cell>
        </row>
        <row r="1967">
          <cell r="B1967">
            <v>2019000100042</v>
          </cell>
          <cell r="BP1967">
            <v>37</v>
          </cell>
        </row>
        <row r="1968">
          <cell r="B1968">
            <v>2021000100036</v>
          </cell>
          <cell r="BP1968">
            <v>83</v>
          </cell>
        </row>
        <row r="1969">
          <cell r="B1969">
            <v>2021000100233</v>
          </cell>
          <cell r="BP1969">
            <v>100</v>
          </cell>
        </row>
        <row r="1970">
          <cell r="B1970">
            <v>2021000100532</v>
          </cell>
          <cell r="BP1970">
            <v>99.2</v>
          </cell>
        </row>
        <row r="1971">
          <cell r="B1971">
            <v>2022000100050</v>
          </cell>
          <cell r="BP1971">
            <v>84.6</v>
          </cell>
        </row>
        <row r="1972">
          <cell r="B1972">
            <v>2024000100052</v>
          </cell>
          <cell r="BP1972">
            <v>89.6</v>
          </cell>
        </row>
        <row r="1973">
          <cell r="B1973">
            <v>2021000100115</v>
          </cell>
          <cell r="BP1973">
            <v>100</v>
          </cell>
        </row>
        <row r="1974">
          <cell r="B1974">
            <v>2024181500036</v>
          </cell>
          <cell r="BP1974">
            <v>8</v>
          </cell>
        </row>
        <row r="1975">
          <cell r="B1975">
            <v>20211301012150</v>
          </cell>
          <cell r="BP1975">
            <v>31</v>
          </cell>
        </row>
        <row r="1976">
          <cell r="B1976">
            <v>2025182050002</v>
          </cell>
          <cell r="BP1976">
            <v>0</v>
          </cell>
        </row>
        <row r="1977">
          <cell r="B1977">
            <v>2025182050003</v>
          </cell>
          <cell r="BP1977">
            <v>40</v>
          </cell>
        </row>
        <row r="1978">
          <cell r="B1978">
            <v>2024182050039</v>
          </cell>
          <cell r="BP1978">
            <v>18</v>
          </cell>
        </row>
        <row r="1979">
          <cell r="B1979">
            <v>2025182050001</v>
          </cell>
          <cell r="BP1979">
            <v>50</v>
          </cell>
        </row>
        <row r="1980">
          <cell r="B1980">
            <v>2025182470001</v>
          </cell>
          <cell r="BP1980">
            <v>0</v>
          </cell>
        </row>
        <row r="1981">
          <cell r="B1981">
            <v>20201301011287</v>
          </cell>
          <cell r="BP1981">
            <v>12</v>
          </cell>
        </row>
        <row r="1982">
          <cell r="B1982">
            <v>2024182560047</v>
          </cell>
          <cell r="BP1982">
            <v>34</v>
          </cell>
        </row>
        <row r="1983">
          <cell r="B1983">
            <v>2025182560002</v>
          </cell>
          <cell r="BP1983">
            <v>100</v>
          </cell>
        </row>
        <row r="1984">
          <cell r="B1984">
            <v>2025182560004</v>
          </cell>
          <cell r="BP1984">
            <v>100</v>
          </cell>
        </row>
        <row r="1985">
          <cell r="B1985">
            <v>2023180010030</v>
          </cell>
          <cell r="BP1985">
            <v>0</v>
          </cell>
        </row>
        <row r="1986">
          <cell r="B1986">
            <v>20201301011769</v>
          </cell>
          <cell r="BP1986">
            <v>30</v>
          </cell>
        </row>
        <row r="1987">
          <cell r="B1987">
            <v>2024180010075</v>
          </cell>
          <cell r="BP1987">
            <v>100</v>
          </cell>
        </row>
        <row r="1988">
          <cell r="B1988">
            <v>20251301010003</v>
          </cell>
          <cell r="BP1988">
            <v>0</v>
          </cell>
        </row>
        <row r="1989">
          <cell r="B1989">
            <v>2019180010085</v>
          </cell>
          <cell r="BP1989">
            <v>0</v>
          </cell>
        </row>
        <row r="1990">
          <cell r="B1990">
            <v>2025184100001</v>
          </cell>
          <cell r="BP1990">
            <v>83.2</v>
          </cell>
        </row>
        <row r="1991">
          <cell r="B1991">
            <v>2025184100002</v>
          </cell>
          <cell r="BP1991">
            <v>0</v>
          </cell>
        </row>
        <row r="1992">
          <cell r="B1992">
            <v>2025184100003</v>
          </cell>
          <cell r="BP1992">
            <v>60</v>
          </cell>
        </row>
        <row r="1993">
          <cell r="B1993">
            <v>2026184100001</v>
          </cell>
          <cell r="BP1993">
            <v>100</v>
          </cell>
        </row>
        <row r="1994">
          <cell r="B1994">
            <v>20221301010145</v>
          </cell>
          <cell r="BP1994">
            <v>96</v>
          </cell>
        </row>
        <row r="1995">
          <cell r="B1995">
            <v>20251301010106</v>
          </cell>
          <cell r="BP1995">
            <v>40</v>
          </cell>
        </row>
        <row r="1996">
          <cell r="B1996">
            <v>2025184600002</v>
          </cell>
          <cell r="BP1996">
            <v>35.6</v>
          </cell>
        </row>
        <row r="1997">
          <cell r="B1997">
            <v>20211301010571</v>
          </cell>
          <cell r="BP1997">
            <v>100</v>
          </cell>
        </row>
        <row r="1998">
          <cell r="B1998">
            <v>2024184600052</v>
          </cell>
          <cell r="BP1998">
            <v>30</v>
          </cell>
        </row>
        <row r="1999">
          <cell r="B1999">
            <v>2025185920002</v>
          </cell>
          <cell r="BP1999">
            <v>0</v>
          </cell>
        </row>
        <row r="2000">
          <cell r="B2000">
            <v>2025185920003</v>
          </cell>
          <cell r="BP2000">
            <v>100</v>
          </cell>
        </row>
        <row r="2001">
          <cell r="B2001">
            <v>20201301010783</v>
          </cell>
          <cell r="BP2001">
            <v>83.5</v>
          </cell>
        </row>
        <row r="2002">
          <cell r="B2002">
            <v>20201301011970</v>
          </cell>
          <cell r="BP2002">
            <v>99.2</v>
          </cell>
        </row>
        <row r="2003">
          <cell r="B2003">
            <v>2025186100001</v>
          </cell>
          <cell r="BP2003">
            <v>100</v>
          </cell>
        </row>
        <row r="2004">
          <cell r="B2004">
            <v>2025187530002</v>
          </cell>
          <cell r="BP2004">
            <v>40</v>
          </cell>
        </row>
        <row r="2005">
          <cell r="B2005">
            <v>2025187530007</v>
          </cell>
          <cell r="BP2005">
            <v>38</v>
          </cell>
        </row>
        <row r="2006">
          <cell r="B2006">
            <v>20241301010201</v>
          </cell>
          <cell r="BP2006">
            <v>0</v>
          </cell>
        </row>
        <row r="2007">
          <cell r="B2007">
            <v>20221301010309</v>
          </cell>
          <cell r="BP2007">
            <v>0</v>
          </cell>
        </row>
        <row r="2008">
          <cell r="B2008">
            <v>20201301010330</v>
          </cell>
          <cell r="BP2008">
            <v>65</v>
          </cell>
        </row>
        <row r="2009">
          <cell r="B2009">
            <v>2025187850002</v>
          </cell>
          <cell r="BP2009">
            <v>100</v>
          </cell>
        </row>
        <row r="2010">
          <cell r="B2010">
            <v>2024850100031</v>
          </cell>
          <cell r="BP2010">
            <v>100</v>
          </cell>
        </row>
        <row r="2011">
          <cell r="B2011">
            <v>2024850100032</v>
          </cell>
          <cell r="BP2011">
            <v>90.4</v>
          </cell>
        </row>
        <row r="2012">
          <cell r="B2012">
            <v>2024850100053</v>
          </cell>
          <cell r="BP2012">
            <v>88.4</v>
          </cell>
        </row>
        <row r="2013">
          <cell r="B2013" t="str">
            <v>2025N000340001</v>
          </cell>
          <cell r="BP2013">
            <v>75.2</v>
          </cell>
        </row>
        <row r="2014">
          <cell r="B2014">
            <v>2025850100001</v>
          </cell>
          <cell r="BP2014">
            <v>0</v>
          </cell>
        </row>
        <row r="2015">
          <cell r="B2015">
            <v>2025850100002</v>
          </cell>
          <cell r="BP2015">
            <v>100</v>
          </cell>
        </row>
        <row r="2016">
          <cell r="B2016">
            <v>2025850100003</v>
          </cell>
          <cell r="BP2016">
            <v>100</v>
          </cell>
        </row>
        <row r="2017">
          <cell r="B2017">
            <v>2025850100004</v>
          </cell>
          <cell r="BP2017">
            <v>100</v>
          </cell>
        </row>
        <row r="2018">
          <cell r="B2018">
            <v>2025850100005</v>
          </cell>
          <cell r="BP2018">
            <v>100</v>
          </cell>
        </row>
        <row r="2019">
          <cell r="B2019">
            <v>2025850100006</v>
          </cell>
          <cell r="BP2019">
            <v>81.2</v>
          </cell>
        </row>
        <row r="2020">
          <cell r="B2020">
            <v>2025850100009</v>
          </cell>
          <cell r="BP2020">
            <v>100</v>
          </cell>
        </row>
        <row r="2021">
          <cell r="B2021">
            <v>2025850100010</v>
          </cell>
          <cell r="BP2021">
            <v>92</v>
          </cell>
        </row>
        <row r="2022">
          <cell r="B2022">
            <v>2025850100016</v>
          </cell>
          <cell r="BP2022">
            <v>100</v>
          </cell>
        </row>
        <row r="2023">
          <cell r="B2023">
            <v>2025850100021</v>
          </cell>
          <cell r="BP2023">
            <v>100</v>
          </cell>
        </row>
        <row r="2024">
          <cell r="B2024">
            <v>2023850100004</v>
          </cell>
          <cell r="BP2024">
            <v>0</v>
          </cell>
        </row>
        <row r="2025">
          <cell r="B2025">
            <v>2019850100004</v>
          </cell>
          <cell r="BP2025">
            <v>50</v>
          </cell>
        </row>
        <row r="2026">
          <cell r="B2026">
            <v>2021850100008</v>
          </cell>
          <cell r="BP2026">
            <v>50</v>
          </cell>
        </row>
        <row r="2027">
          <cell r="B2027" t="str">
            <v>2023N000340001</v>
          </cell>
          <cell r="BP2027">
            <v>50</v>
          </cell>
        </row>
        <row r="2028">
          <cell r="B2028">
            <v>2025850100011</v>
          </cell>
          <cell r="BP2028">
            <v>0</v>
          </cell>
        </row>
        <row r="2029">
          <cell r="B2029" t="str">
            <v>2024I00010011</v>
          </cell>
          <cell r="BP2029">
            <v>50</v>
          </cell>
        </row>
        <row r="2030">
          <cell r="B2030" t="str">
            <v>2024N000160001</v>
          </cell>
          <cell r="BP2030">
            <v>10</v>
          </cell>
        </row>
        <row r="2031">
          <cell r="B2031" t="str">
            <v>2023I00010060</v>
          </cell>
          <cell r="BP2031">
            <v>19.600000000000001</v>
          </cell>
        </row>
        <row r="2032">
          <cell r="B2032">
            <v>2023000070007</v>
          </cell>
          <cell r="BP2032">
            <v>100</v>
          </cell>
        </row>
        <row r="2033">
          <cell r="B2033">
            <v>2023000070008</v>
          </cell>
          <cell r="BP2033">
            <v>90</v>
          </cell>
        </row>
        <row r="2034">
          <cell r="B2034">
            <v>20231301010018</v>
          </cell>
          <cell r="BP2034">
            <v>100</v>
          </cell>
        </row>
        <row r="2035">
          <cell r="B2035" t="str">
            <v>2025N000370001</v>
          </cell>
          <cell r="BP2035">
            <v>60</v>
          </cell>
        </row>
        <row r="2036">
          <cell r="B2036" t="str">
            <v>2025N001700001</v>
          </cell>
          <cell r="BP2036">
            <v>30</v>
          </cell>
        </row>
        <row r="2037">
          <cell r="B2037" t="str">
            <v>2025N005520002</v>
          </cell>
          <cell r="BP2037">
            <v>40.6</v>
          </cell>
        </row>
        <row r="2038">
          <cell r="B2038" t="str">
            <v>2025N005680003</v>
          </cell>
          <cell r="BP2038">
            <v>100</v>
          </cell>
        </row>
        <row r="2039">
          <cell r="B2039">
            <v>2022005850026</v>
          </cell>
          <cell r="BP2039">
            <v>59.6</v>
          </cell>
        </row>
        <row r="2040">
          <cell r="B2040">
            <v>2020000100281</v>
          </cell>
          <cell r="BP2040">
            <v>89</v>
          </cell>
        </row>
        <row r="2041">
          <cell r="B2041">
            <v>2013000100096</v>
          </cell>
          <cell r="BP2041">
            <v>22</v>
          </cell>
        </row>
        <row r="2042">
          <cell r="B2042">
            <v>2013000100130</v>
          </cell>
          <cell r="BP2042">
            <v>76</v>
          </cell>
        </row>
        <row r="2043">
          <cell r="B2043">
            <v>2017005850048</v>
          </cell>
          <cell r="BP2043">
            <v>42</v>
          </cell>
        </row>
        <row r="2044">
          <cell r="B2044">
            <v>2017005850060</v>
          </cell>
          <cell r="BP2044">
            <v>96.4</v>
          </cell>
        </row>
        <row r="2045">
          <cell r="B2045">
            <v>2021005850073</v>
          </cell>
          <cell r="BP2045">
            <v>70.2</v>
          </cell>
        </row>
        <row r="2046">
          <cell r="B2046">
            <v>2021005850080</v>
          </cell>
          <cell r="BP2046">
            <v>100</v>
          </cell>
        </row>
        <row r="2047">
          <cell r="B2047">
            <v>2022005850007</v>
          </cell>
          <cell r="BP2047">
            <v>54</v>
          </cell>
        </row>
        <row r="2048">
          <cell r="B2048">
            <v>2022005850030</v>
          </cell>
          <cell r="BP2048">
            <v>100</v>
          </cell>
        </row>
        <row r="2049">
          <cell r="B2049">
            <v>2022005850039</v>
          </cell>
          <cell r="BP2049">
            <v>68</v>
          </cell>
        </row>
        <row r="2050">
          <cell r="B2050">
            <v>2024005850109</v>
          </cell>
          <cell r="BP2050">
            <v>100</v>
          </cell>
        </row>
        <row r="2051">
          <cell r="B2051">
            <v>2024005850111</v>
          </cell>
          <cell r="BP2051">
            <v>100</v>
          </cell>
        </row>
        <row r="2052">
          <cell r="B2052">
            <v>2024005850121</v>
          </cell>
          <cell r="BP2052">
            <v>100</v>
          </cell>
        </row>
        <row r="2053">
          <cell r="B2053">
            <v>2024005850151</v>
          </cell>
          <cell r="BP2053">
            <v>50</v>
          </cell>
        </row>
        <row r="2054">
          <cell r="B2054">
            <v>2025005850003</v>
          </cell>
          <cell r="BP2054">
            <v>100</v>
          </cell>
        </row>
        <row r="2055">
          <cell r="B2055">
            <v>2025005850005</v>
          </cell>
          <cell r="BP2055">
            <v>100</v>
          </cell>
        </row>
        <row r="2056">
          <cell r="B2056">
            <v>2025005850016</v>
          </cell>
          <cell r="BP2056">
            <v>100</v>
          </cell>
        </row>
        <row r="2057">
          <cell r="B2057">
            <v>2025005850017</v>
          </cell>
          <cell r="BP2057">
            <v>80</v>
          </cell>
        </row>
        <row r="2058">
          <cell r="B2058">
            <v>2025005850020</v>
          </cell>
          <cell r="BP2058">
            <v>0</v>
          </cell>
        </row>
        <row r="2059">
          <cell r="B2059">
            <v>2025005850021</v>
          </cell>
          <cell r="BP2059">
            <v>70.8</v>
          </cell>
        </row>
        <row r="2060">
          <cell r="B2060">
            <v>2025005850026</v>
          </cell>
          <cell r="BP2060">
            <v>0</v>
          </cell>
        </row>
        <row r="2061">
          <cell r="B2061">
            <v>2025005850027</v>
          </cell>
          <cell r="BP2061">
            <v>0</v>
          </cell>
        </row>
        <row r="2062">
          <cell r="B2062">
            <v>2025005850032</v>
          </cell>
          <cell r="BP2062">
            <v>100</v>
          </cell>
        </row>
        <row r="2063">
          <cell r="B2063">
            <v>2025005850036</v>
          </cell>
          <cell r="BP2063">
            <v>100</v>
          </cell>
        </row>
        <row r="2064">
          <cell r="B2064">
            <v>2025005850045</v>
          </cell>
          <cell r="BP2064">
            <v>100</v>
          </cell>
        </row>
        <row r="2065">
          <cell r="B2065">
            <v>2013005850069</v>
          </cell>
          <cell r="BP2065">
            <v>0</v>
          </cell>
        </row>
        <row r="2066">
          <cell r="B2066">
            <v>2021005850086</v>
          </cell>
          <cell r="BP2066">
            <v>50</v>
          </cell>
        </row>
        <row r="2067">
          <cell r="B2067">
            <v>2021005850087</v>
          </cell>
          <cell r="BP2067">
            <v>40.1</v>
          </cell>
        </row>
        <row r="2068">
          <cell r="B2068">
            <v>2023005850035</v>
          </cell>
          <cell r="BP2068">
            <v>50</v>
          </cell>
        </row>
        <row r="2069">
          <cell r="B2069">
            <v>2024005850123</v>
          </cell>
          <cell r="BP2069">
            <v>50</v>
          </cell>
        </row>
        <row r="2070">
          <cell r="B2070">
            <v>2024005850127</v>
          </cell>
          <cell r="BP2070">
            <v>50</v>
          </cell>
        </row>
        <row r="2071">
          <cell r="B2071">
            <v>2025005850023</v>
          </cell>
          <cell r="BP2071">
            <v>89</v>
          </cell>
        </row>
        <row r="2072">
          <cell r="B2072">
            <v>2025005850029</v>
          </cell>
          <cell r="BP2072">
            <v>61.6</v>
          </cell>
        </row>
        <row r="2073">
          <cell r="B2073">
            <v>2025005850033</v>
          </cell>
          <cell r="BP2073">
            <v>60</v>
          </cell>
        </row>
        <row r="2074">
          <cell r="B2074">
            <v>2025005850046</v>
          </cell>
          <cell r="BP2074">
            <v>100</v>
          </cell>
        </row>
        <row r="2075">
          <cell r="B2075">
            <v>2022005850034</v>
          </cell>
          <cell r="BP2075">
            <v>43.5</v>
          </cell>
        </row>
        <row r="2076">
          <cell r="B2076">
            <v>2022005850002</v>
          </cell>
          <cell r="BP2076">
            <v>100</v>
          </cell>
        </row>
        <row r="2077">
          <cell r="B2077">
            <v>2022005850029</v>
          </cell>
          <cell r="BP2077">
            <v>100</v>
          </cell>
        </row>
        <row r="2078">
          <cell r="B2078">
            <v>2023005850020</v>
          </cell>
          <cell r="BP2078">
            <v>100</v>
          </cell>
        </row>
        <row r="2079">
          <cell r="B2079">
            <v>2023005850027</v>
          </cell>
          <cell r="BP2079">
            <v>90</v>
          </cell>
        </row>
        <row r="2080">
          <cell r="B2080">
            <v>2023005850036</v>
          </cell>
          <cell r="BP2080">
            <v>100</v>
          </cell>
        </row>
        <row r="2081">
          <cell r="B2081">
            <v>2023005850049</v>
          </cell>
          <cell r="BP2081">
            <v>100</v>
          </cell>
        </row>
        <row r="2082">
          <cell r="B2082">
            <v>2023005850051</v>
          </cell>
          <cell r="BP2082">
            <v>90</v>
          </cell>
        </row>
        <row r="2083">
          <cell r="B2083">
            <v>2023005850054</v>
          </cell>
          <cell r="BP2083">
            <v>100</v>
          </cell>
        </row>
        <row r="2084">
          <cell r="B2084">
            <v>2024005850122</v>
          </cell>
          <cell r="BP2084">
            <v>95.6</v>
          </cell>
        </row>
        <row r="2085">
          <cell r="B2085">
            <v>2024005850129</v>
          </cell>
          <cell r="BP2085">
            <v>100</v>
          </cell>
        </row>
        <row r="2086">
          <cell r="B2086">
            <v>2025005850028</v>
          </cell>
          <cell r="BP2086">
            <v>100</v>
          </cell>
        </row>
        <row r="2087">
          <cell r="B2087">
            <v>2025005850043</v>
          </cell>
          <cell r="BP2087">
            <v>100</v>
          </cell>
        </row>
        <row r="2088">
          <cell r="B2088">
            <v>2024000100006</v>
          </cell>
          <cell r="BP2088">
            <v>100</v>
          </cell>
        </row>
        <row r="2089">
          <cell r="B2089">
            <v>2020000100637</v>
          </cell>
          <cell r="BP2089">
            <v>30</v>
          </cell>
        </row>
        <row r="2090">
          <cell r="B2090">
            <v>2020000100435</v>
          </cell>
          <cell r="BP2090">
            <v>5.8</v>
          </cell>
        </row>
        <row r="2091">
          <cell r="B2091">
            <v>2013000070032</v>
          </cell>
          <cell r="BP2091">
            <v>25.5</v>
          </cell>
        </row>
        <row r="2092">
          <cell r="B2092">
            <v>2022005850020</v>
          </cell>
          <cell r="BP2092">
            <v>45.6</v>
          </cell>
        </row>
        <row r="2093">
          <cell r="B2093">
            <v>2022005850047</v>
          </cell>
          <cell r="BP2093">
            <v>30</v>
          </cell>
        </row>
        <row r="2094">
          <cell r="B2094">
            <v>2022005850005</v>
          </cell>
          <cell r="BP2094">
            <v>100</v>
          </cell>
        </row>
        <row r="2095">
          <cell r="B2095">
            <v>2024005850110</v>
          </cell>
          <cell r="BP2095">
            <v>100</v>
          </cell>
        </row>
        <row r="2096">
          <cell r="B2096">
            <v>2024005850130</v>
          </cell>
          <cell r="BP2096">
            <v>100</v>
          </cell>
        </row>
        <row r="2097">
          <cell r="B2097">
            <v>2024005850137</v>
          </cell>
          <cell r="BP2097">
            <v>100</v>
          </cell>
        </row>
        <row r="2098">
          <cell r="B2098">
            <v>2024005850144</v>
          </cell>
          <cell r="BP2098">
            <v>100</v>
          </cell>
        </row>
        <row r="2099">
          <cell r="B2099">
            <v>2024005850147</v>
          </cell>
          <cell r="BP2099">
            <v>92</v>
          </cell>
        </row>
        <row r="2100">
          <cell r="B2100">
            <v>2024005850150</v>
          </cell>
          <cell r="BP2100">
            <v>100</v>
          </cell>
        </row>
        <row r="2101">
          <cell r="B2101">
            <v>2024005850152</v>
          </cell>
          <cell r="BP2101">
            <v>100</v>
          </cell>
        </row>
        <row r="2102">
          <cell r="B2102">
            <v>2024005850153</v>
          </cell>
          <cell r="BP2102">
            <v>100</v>
          </cell>
        </row>
        <row r="2103">
          <cell r="B2103">
            <v>2025005850002</v>
          </cell>
          <cell r="BP2103">
            <v>100</v>
          </cell>
        </row>
        <row r="2104">
          <cell r="B2104">
            <v>2025005850006</v>
          </cell>
          <cell r="BP2104">
            <v>85.6</v>
          </cell>
        </row>
        <row r="2105">
          <cell r="B2105">
            <v>2025005850024</v>
          </cell>
          <cell r="BP2105">
            <v>100</v>
          </cell>
        </row>
        <row r="2106">
          <cell r="B2106">
            <v>2021000100290</v>
          </cell>
          <cell r="BP2106">
            <v>100</v>
          </cell>
        </row>
        <row r="2107">
          <cell r="B2107">
            <v>2021005850069</v>
          </cell>
          <cell r="BP2107">
            <v>50</v>
          </cell>
        </row>
        <row r="2108">
          <cell r="B2108">
            <v>2021005850017</v>
          </cell>
          <cell r="BP2108">
            <v>0</v>
          </cell>
        </row>
        <row r="2109">
          <cell r="B2109">
            <v>2021005850028</v>
          </cell>
          <cell r="BP2109">
            <v>23</v>
          </cell>
        </row>
        <row r="2110">
          <cell r="B2110">
            <v>2024005850113</v>
          </cell>
          <cell r="BP2110">
            <v>30</v>
          </cell>
        </row>
        <row r="2111">
          <cell r="B2111">
            <v>2018005850060</v>
          </cell>
          <cell r="BP2111">
            <v>0</v>
          </cell>
        </row>
        <row r="2112">
          <cell r="B2112">
            <v>2022005850040</v>
          </cell>
          <cell r="BP2112">
            <v>66</v>
          </cell>
        </row>
        <row r="2113">
          <cell r="B2113">
            <v>2025005850019</v>
          </cell>
          <cell r="BP2113">
            <v>96</v>
          </cell>
        </row>
        <row r="2114">
          <cell r="B2114">
            <v>2023005850042</v>
          </cell>
          <cell r="BP2114">
            <v>100</v>
          </cell>
        </row>
        <row r="2115">
          <cell r="B2115">
            <v>2021005850029</v>
          </cell>
          <cell r="BP2115">
            <v>75</v>
          </cell>
        </row>
        <row r="2116">
          <cell r="B2116">
            <v>2023005850019</v>
          </cell>
          <cell r="BP2116">
            <v>45.2</v>
          </cell>
        </row>
        <row r="2117">
          <cell r="B2117">
            <v>2023005850045</v>
          </cell>
          <cell r="BP2117">
            <v>0</v>
          </cell>
        </row>
        <row r="2118">
          <cell r="B2118">
            <v>2023005850053</v>
          </cell>
          <cell r="BP2118">
            <v>100</v>
          </cell>
        </row>
        <row r="2119">
          <cell r="B2119">
            <v>2019000100035</v>
          </cell>
          <cell r="BP2119">
            <v>100</v>
          </cell>
        </row>
        <row r="2120">
          <cell r="B2120">
            <v>2019000100038</v>
          </cell>
          <cell r="BP2120">
            <v>100</v>
          </cell>
        </row>
        <row r="2121">
          <cell r="B2121">
            <v>2021000100038</v>
          </cell>
          <cell r="BP2121">
            <v>89</v>
          </cell>
        </row>
        <row r="2122">
          <cell r="B2122">
            <v>2024005850157</v>
          </cell>
          <cell r="BP2122">
            <v>100</v>
          </cell>
        </row>
        <row r="2123">
          <cell r="B2123">
            <v>2021000100117</v>
          </cell>
          <cell r="BP2123">
            <v>100</v>
          </cell>
        </row>
        <row r="2124">
          <cell r="B2124">
            <v>2021000100308</v>
          </cell>
          <cell r="BP2124">
            <v>50</v>
          </cell>
        </row>
        <row r="2125">
          <cell r="B2125">
            <v>2025005850044</v>
          </cell>
          <cell r="BP2125">
            <v>89</v>
          </cell>
        </row>
        <row r="2126">
          <cell r="B2126">
            <v>2025850150001</v>
          </cell>
          <cell r="BP2126">
            <v>96.4</v>
          </cell>
        </row>
        <row r="2127">
          <cell r="B2127">
            <v>2023000070017</v>
          </cell>
          <cell r="BP2127">
            <v>78</v>
          </cell>
        </row>
        <row r="2128">
          <cell r="B2128">
            <v>2025851250001</v>
          </cell>
          <cell r="BP2128">
            <v>100</v>
          </cell>
        </row>
        <row r="2129">
          <cell r="B2129">
            <v>2025851390001</v>
          </cell>
          <cell r="BP2129">
            <v>90</v>
          </cell>
        </row>
        <row r="2130">
          <cell r="B2130">
            <v>2025851390005</v>
          </cell>
          <cell r="BP2130">
            <v>100</v>
          </cell>
        </row>
        <row r="2131">
          <cell r="B2131">
            <v>2022851390005</v>
          </cell>
          <cell r="BP2131">
            <v>100</v>
          </cell>
        </row>
        <row r="2132">
          <cell r="B2132">
            <v>2025851390002</v>
          </cell>
          <cell r="BP2132">
            <v>100</v>
          </cell>
        </row>
        <row r="2133">
          <cell r="B2133">
            <v>2025851390004</v>
          </cell>
          <cell r="BP2133">
            <v>100</v>
          </cell>
        </row>
        <row r="2134">
          <cell r="B2134">
            <v>2025851620001</v>
          </cell>
          <cell r="BP2134">
            <v>77.599999999999994</v>
          </cell>
        </row>
        <row r="2135">
          <cell r="B2135">
            <v>2025852250001</v>
          </cell>
          <cell r="BP2135">
            <v>96</v>
          </cell>
        </row>
        <row r="2136">
          <cell r="B2136">
            <v>2023852300008</v>
          </cell>
          <cell r="BP2136">
            <v>34.5</v>
          </cell>
        </row>
        <row r="2137">
          <cell r="B2137">
            <v>2024852300058</v>
          </cell>
          <cell r="BP2137">
            <v>0</v>
          </cell>
        </row>
        <row r="2138">
          <cell r="B2138">
            <v>2025852300010</v>
          </cell>
          <cell r="BP2138">
            <v>100</v>
          </cell>
        </row>
        <row r="2139">
          <cell r="B2139">
            <v>2023852300014</v>
          </cell>
          <cell r="BP2139">
            <v>90</v>
          </cell>
        </row>
        <row r="2140">
          <cell r="B2140">
            <v>2024852300050</v>
          </cell>
          <cell r="BP2140">
            <v>45</v>
          </cell>
        </row>
        <row r="2141">
          <cell r="B2141">
            <v>2024852300060</v>
          </cell>
          <cell r="BP2141">
            <v>0</v>
          </cell>
        </row>
        <row r="2142">
          <cell r="B2142">
            <v>2025852300011</v>
          </cell>
          <cell r="BP2142">
            <v>50</v>
          </cell>
        </row>
        <row r="2143">
          <cell r="B2143">
            <v>2025852300020</v>
          </cell>
          <cell r="BP2143">
            <v>0</v>
          </cell>
        </row>
        <row r="2144">
          <cell r="B2144">
            <v>2025852500007</v>
          </cell>
          <cell r="BP2144">
            <v>100</v>
          </cell>
        </row>
        <row r="2145">
          <cell r="B2145">
            <v>2023852500004</v>
          </cell>
          <cell r="BP2145">
            <v>0</v>
          </cell>
        </row>
        <row r="2146">
          <cell r="B2146">
            <v>2024852500062</v>
          </cell>
          <cell r="BP2146">
            <v>86.4</v>
          </cell>
        </row>
        <row r="2147">
          <cell r="B2147">
            <v>2025852500008</v>
          </cell>
          <cell r="BP2147">
            <v>0</v>
          </cell>
        </row>
        <row r="2148">
          <cell r="B2148">
            <v>2024852500016</v>
          </cell>
          <cell r="BP2148">
            <v>41.5</v>
          </cell>
        </row>
        <row r="2149">
          <cell r="B2149">
            <v>2025852630001</v>
          </cell>
          <cell r="BP2149">
            <v>56</v>
          </cell>
        </row>
        <row r="2150">
          <cell r="B2150">
            <v>2024852630040</v>
          </cell>
          <cell r="BP2150">
            <v>100</v>
          </cell>
        </row>
        <row r="2151">
          <cell r="B2151">
            <v>2017852790001</v>
          </cell>
          <cell r="BP2151">
            <v>7</v>
          </cell>
        </row>
        <row r="2152">
          <cell r="B2152">
            <v>2025853000001</v>
          </cell>
          <cell r="BP2152">
            <v>84</v>
          </cell>
        </row>
        <row r="2153">
          <cell r="B2153">
            <v>2025853000002</v>
          </cell>
          <cell r="BP2153">
            <v>56</v>
          </cell>
        </row>
        <row r="2154">
          <cell r="B2154">
            <v>2025853150001</v>
          </cell>
          <cell r="BP2154">
            <v>84.6</v>
          </cell>
        </row>
        <row r="2155">
          <cell r="B2155">
            <v>2025853250003</v>
          </cell>
          <cell r="BP2155">
            <v>100</v>
          </cell>
        </row>
        <row r="2156">
          <cell r="B2156">
            <v>2023853250012</v>
          </cell>
          <cell r="BP2156">
            <v>100</v>
          </cell>
        </row>
        <row r="2157">
          <cell r="B2157">
            <v>2021853250010</v>
          </cell>
          <cell r="BP2157">
            <v>0</v>
          </cell>
        </row>
        <row r="2158">
          <cell r="B2158">
            <v>2024853250034</v>
          </cell>
          <cell r="BP2158">
            <v>32.799999999999997</v>
          </cell>
        </row>
        <row r="2159">
          <cell r="B2159">
            <v>2025853250005</v>
          </cell>
          <cell r="BP2159">
            <v>100</v>
          </cell>
        </row>
        <row r="2160">
          <cell r="B2160">
            <v>20231301010122</v>
          </cell>
          <cell r="BP2160">
            <v>100</v>
          </cell>
        </row>
        <row r="2161">
          <cell r="B2161" t="str">
            <v>2024N001030001</v>
          </cell>
          <cell r="BP2161">
            <v>20</v>
          </cell>
        </row>
        <row r="2162">
          <cell r="B2162">
            <v>2024854100068</v>
          </cell>
          <cell r="BP2162">
            <v>100</v>
          </cell>
        </row>
        <row r="2163">
          <cell r="B2163">
            <v>2025854100001</v>
          </cell>
          <cell r="BP2163">
            <v>89.2</v>
          </cell>
        </row>
        <row r="2164">
          <cell r="B2164">
            <v>2025854100008</v>
          </cell>
          <cell r="BP2164">
            <v>100</v>
          </cell>
        </row>
        <row r="2165">
          <cell r="B2165">
            <v>2025854100010</v>
          </cell>
          <cell r="BP2165">
            <v>98.4</v>
          </cell>
        </row>
        <row r="2166">
          <cell r="B2166">
            <v>2025854100003</v>
          </cell>
          <cell r="BP2166">
            <v>96</v>
          </cell>
        </row>
        <row r="2167">
          <cell r="B2167">
            <v>2023854100009</v>
          </cell>
          <cell r="BP2167">
            <v>100</v>
          </cell>
        </row>
        <row r="2168">
          <cell r="B2168">
            <v>2025854100004</v>
          </cell>
          <cell r="BP2168">
            <v>100</v>
          </cell>
        </row>
        <row r="2169">
          <cell r="B2169">
            <v>2025854100005</v>
          </cell>
          <cell r="BP2169">
            <v>100</v>
          </cell>
        </row>
        <row r="2170">
          <cell r="B2170">
            <v>2025854100006</v>
          </cell>
          <cell r="BP2170">
            <v>100</v>
          </cell>
        </row>
        <row r="2171">
          <cell r="B2171">
            <v>2025854100007</v>
          </cell>
          <cell r="BP2171">
            <v>100</v>
          </cell>
        </row>
        <row r="2172">
          <cell r="B2172">
            <v>2025854100011</v>
          </cell>
          <cell r="BP2172">
            <v>60</v>
          </cell>
        </row>
        <row r="2173">
          <cell r="B2173">
            <v>2025854100012</v>
          </cell>
          <cell r="BP2173">
            <v>60</v>
          </cell>
        </row>
        <row r="2174">
          <cell r="B2174">
            <v>2025854100013</v>
          </cell>
          <cell r="BP2174">
            <v>60</v>
          </cell>
        </row>
        <row r="2175">
          <cell r="B2175">
            <v>2025854100016</v>
          </cell>
          <cell r="BP2175">
            <v>0</v>
          </cell>
        </row>
        <row r="2176">
          <cell r="B2176">
            <v>2025854100017</v>
          </cell>
          <cell r="BP2176">
            <v>100</v>
          </cell>
        </row>
        <row r="2177">
          <cell r="B2177">
            <v>2025854100018</v>
          </cell>
          <cell r="BP2177">
            <v>100</v>
          </cell>
        </row>
        <row r="2178">
          <cell r="B2178">
            <v>2026854100001</v>
          </cell>
          <cell r="BP2178">
            <v>100</v>
          </cell>
        </row>
        <row r="2179">
          <cell r="B2179">
            <v>2025854300003</v>
          </cell>
          <cell r="BP2179">
            <v>44.2</v>
          </cell>
        </row>
        <row r="2180">
          <cell r="B2180">
            <v>2025854300004</v>
          </cell>
          <cell r="BP2180">
            <v>100</v>
          </cell>
        </row>
        <row r="2181">
          <cell r="B2181">
            <v>2021854400005</v>
          </cell>
          <cell r="BP2181">
            <v>0</v>
          </cell>
        </row>
        <row r="2182">
          <cell r="B2182">
            <v>2022854400016</v>
          </cell>
          <cell r="BP2182">
            <v>0</v>
          </cell>
        </row>
        <row r="2183">
          <cell r="B2183">
            <v>2025854400006</v>
          </cell>
          <cell r="BP2183">
            <v>41.4</v>
          </cell>
        </row>
        <row r="2184">
          <cell r="B2184">
            <v>2023854400001</v>
          </cell>
          <cell r="BP2184">
            <v>100</v>
          </cell>
        </row>
        <row r="2185">
          <cell r="B2185">
            <v>2025854400001</v>
          </cell>
          <cell r="BP2185">
            <v>100</v>
          </cell>
        </row>
        <row r="2186">
          <cell r="B2186">
            <v>2025854400008</v>
          </cell>
          <cell r="BP2186">
            <v>86.8</v>
          </cell>
        </row>
        <row r="2187">
          <cell r="B2187">
            <v>2025854400009</v>
          </cell>
          <cell r="BP2187">
            <v>89</v>
          </cell>
        </row>
        <row r="2188">
          <cell r="B2188">
            <v>2025854400012</v>
          </cell>
          <cell r="BP2188">
            <v>89</v>
          </cell>
        </row>
        <row r="2189">
          <cell r="B2189">
            <v>2021854400006</v>
          </cell>
          <cell r="BP2189">
            <v>0</v>
          </cell>
        </row>
        <row r="2190">
          <cell r="B2190">
            <v>2022854400005</v>
          </cell>
          <cell r="BP2190">
            <v>12.5</v>
          </cell>
        </row>
        <row r="2191">
          <cell r="B2191">
            <v>2022854400007</v>
          </cell>
          <cell r="BP2191">
            <v>100</v>
          </cell>
        </row>
        <row r="2192">
          <cell r="B2192">
            <v>2025854400003</v>
          </cell>
          <cell r="BP2192">
            <v>93.2</v>
          </cell>
        </row>
        <row r="2193">
          <cell r="B2193">
            <v>2025854400004</v>
          </cell>
          <cell r="BP2193">
            <v>0</v>
          </cell>
        </row>
        <row r="2194">
          <cell r="B2194">
            <v>2022850010019</v>
          </cell>
          <cell r="BP2194">
            <v>100</v>
          </cell>
        </row>
        <row r="2195">
          <cell r="B2195">
            <v>2023850010014</v>
          </cell>
          <cell r="BP2195">
            <v>0</v>
          </cell>
        </row>
        <row r="2196">
          <cell r="B2196">
            <v>2023850010024</v>
          </cell>
          <cell r="BP2196">
            <v>0</v>
          </cell>
        </row>
        <row r="2197">
          <cell r="B2197">
            <v>2023850010031</v>
          </cell>
          <cell r="BP2197">
            <v>0</v>
          </cell>
        </row>
        <row r="2198">
          <cell r="B2198">
            <v>2023850010032</v>
          </cell>
          <cell r="BP2198">
            <v>0</v>
          </cell>
        </row>
        <row r="2199">
          <cell r="B2199">
            <v>2024850010001</v>
          </cell>
          <cell r="BP2199">
            <v>40</v>
          </cell>
        </row>
        <row r="2200">
          <cell r="B2200" t="str">
            <v>2025N000440003</v>
          </cell>
          <cell r="BP2200">
            <v>0</v>
          </cell>
        </row>
        <row r="2201">
          <cell r="B2201" t="str">
            <v>2025N005680001</v>
          </cell>
          <cell r="BP2201">
            <v>50</v>
          </cell>
        </row>
        <row r="2202">
          <cell r="B2202" t="str">
            <v>2025N005680004</v>
          </cell>
          <cell r="BP2202">
            <v>60</v>
          </cell>
        </row>
        <row r="2203">
          <cell r="B2203">
            <v>2019005850050</v>
          </cell>
          <cell r="BP2203">
            <v>13.5</v>
          </cell>
        </row>
        <row r="2204">
          <cell r="B2204">
            <v>2022850010011</v>
          </cell>
          <cell r="BP2204">
            <v>18</v>
          </cell>
        </row>
        <row r="2205">
          <cell r="B2205">
            <v>2022850010005</v>
          </cell>
          <cell r="BP2205">
            <v>0</v>
          </cell>
        </row>
        <row r="2206">
          <cell r="B2206">
            <v>2022850010018</v>
          </cell>
          <cell r="BP2206">
            <v>0</v>
          </cell>
        </row>
        <row r="2207">
          <cell r="B2207">
            <v>2023850010006</v>
          </cell>
          <cell r="BP2207">
            <v>0</v>
          </cell>
        </row>
        <row r="2208">
          <cell r="B2208">
            <v>2023850010020</v>
          </cell>
          <cell r="BP2208">
            <v>0</v>
          </cell>
        </row>
        <row r="2209">
          <cell r="B2209">
            <v>2023850010026</v>
          </cell>
          <cell r="BP2209">
            <v>0</v>
          </cell>
        </row>
        <row r="2210">
          <cell r="B2210">
            <v>2025850010002</v>
          </cell>
          <cell r="BP2210">
            <v>60</v>
          </cell>
        </row>
        <row r="2211">
          <cell r="B2211">
            <v>2022850010008</v>
          </cell>
          <cell r="BP2211">
            <v>100</v>
          </cell>
        </row>
        <row r="2212">
          <cell r="B2212">
            <v>2022850010014</v>
          </cell>
          <cell r="BP2212">
            <v>96.4</v>
          </cell>
        </row>
        <row r="2213">
          <cell r="B2213">
            <v>2023850010009</v>
          </cell>
          <cell r="BP2213">
            <v>88.2</v>
          </cell>
        </row>
        <row r="2214">
          <cell r="B2214" t="str">
            <v>2024N000170001</v>
          </cell>
          <cell r="BP2214">
            <v>100</v>
          </cell>
        </row>
        <row r="2215">
          <cell r="B2215" t="str">
            <v>2024N002290002</v>
          </cell>
          <cell r="BP2215">
            <v>60</v>
          </cell>
        </row>
        <row r="2216">
          <cell r="B2216">
            <v>2025850010008</v>
          </cell>
          <cell r="BP2216">
            <v>100</v>
          </cell>
        </row>
        <row r="2217">
          <cell r="B2217">
            <v>2025190220002</v>
          </cell>
          <cell r="BP2217">
            <v>89</v>
          </cell>
        </row>
        <row r="2218">
          <cell r="B2218">
            <v>2026190220001</v>
          </cell>
          <cell r="BP2218">
            <v>100</v>
          </cell>
        </row>
        <row r="2219">
          <cell r="B2219">
            <v>2026190220002</v>
          </cell>
          <cell r="BP2219">
            <v>40</v>
          </cell>
        </row>
        <row r="2220">
          <cell r="B2220">
            <v>2017190500001</v>
          </cell>
          <cell r="BP2220">
            <v>15.5</v>
          </cell>
        </row>
        <row r="2221">
          <cell r="B2221">
            <v>20241301010105</v>
          </cell>
          <cell r="BP2221">
            <v>60</v>
          </cell>
        </row>
        <row r="2222">
          <cell r="B2222">
            <v>20221301010063</v>
          </cell>
          <cell r="BP2222">
            <v>100</v>
          </cell>
        </row>
        <row r="2223">
          <cell r="B2223">
            <v>2025191000001</v>
          </cell>
          <cell r="BP2223">
            <v>100</v>
          </cell>
        </row>
        <row r="2224">
          <cell r="B2224">
            <v>2017191000005</v>
          </cell>
          <cell r="BP2224">
            <v>0</v>
          </cell>
        </row>
        <row r="2225">
          <cell r="B2225">
            <v>2018191000056</v>
          </cell>
          <cell r="BP2225">
            <v>20.5</v>
          </cell>
        </row>
        <row r="2226">
          <cell r="B2226">
            <v>2022191000002</v>
          </cell>
          <cell r="BP2226">
            <v>100</v>
          </cell>
        </row>
        <row r="2227">
          <cell r="B2227">
            <v>2023191000003</v>
          </cell>
          <cell r="BP2227">
            <v>97.6</v>
          </cell>
        </row>
        <row r="2228">
          <cell r="B2228">
            <v>2023191000004</v>
          </cell>
          <cell r="BP2228">
            <v>98.4</v>
          </cell>
        </row>
        <row r="2229">
          <cell r="B2229">
            <v>2025191100001</v>
          </cell>
          <cell r="BP2229">
            <v>100</v>
          </cell>
        </row>
        <row r="2230">
          <cell r="B2230">
            <v>2024191100001</v>
          </cell>
          <cell r="BP2230">
            <v>40.200000000000003</v>
          </cell>
        </row>
        <row r="2231">
          <cell r="B2231">
            <v>2024191100014</v>
          </cell>
          <cell r="BP2231">
            <v>13.5</v>
          </cell>
        </row>
        <row r="2232">
          <cell r="B2232">
            <v>20251301010055</v>
          </cell>
          <cell r="BP2232">
            <v>100</v>
          </cell>
        </row>
        <row r="2233">
          <cell r="B2233">
            <v>2025191300002</v>
          </cell>
          <cell r="BP2233">
            <v>85.4</v>
          </cell>
        </row>
        <row r="2234">
          <cell r="B2234">
            <v>2013191300003</v>
          </cell>
          <cell r="BP2234">
            <v>0</v>
          </cell>
        </row>
        <row r="2235">
          <cell r="B2235">
            <v>20231301010157</v>
          </cell>
          <cell r="BP2235">
            <v>78</v>
          </cell>
        </row>
        <row r="2236">
          <cell r="B2236">
            <v>2023191300001</v>
          </cell>
          <cell r="BP2236">
            <v>100</v>
          </cell>
        </row>
        <row r="2237">
          <cell r="B2237">
            <v>2024191370029</v>
          </cell>
          <cell r="BP2237">
            <v>100</v>
          </cell>
        </row>
        <row r="2238">
          <cell r="B2238">
            <v>2025191370001</v>
          </cell>
          <cell r="BP2238">
            <v>89</v>
          </cell>
        </row>
        <row r="2239">
          <cell r="B2239">
            <v>2023191370015</v>
          </cell>
          <cell r="BP2239">
            <v>0</v>
          </cell>
        </row>
        <row r="2240">
          <cell r="B2240">
            <v>2023191370038</v>
          </cell>
          <cell r="BP2240">
            <v>0</v>
          </cell>
        </row>
        <row r="2241">
          <cell r="B2241">
            <v>2023191370039</v>
          </cell>
          <cell r="BP2241">
            <v>90</v>
          </cell>
        </row>
        <row r="2242">
          <cell r="B2242">
            <v>2024191420060</v>
          </cell>
          <cell r="BP2242">
            <v>40</v>
          </cell>
        </row>
        <row r="2243">
          <cell r="B2243">
            <v>20211301010970</v>
          </cell>
          <cell r="BP2243">
            <v>100</v>
          </cell>
        </row>
        <row r="2244">
          <cell r="B2244">
            <v>2025191420002</v>
          </cell>
          <cell r="BP2244">
            <v>0</v>
          </cell>
        </row>
        <row r="2245">
          <cell r="B2245">
            <v>20251301010379</v>
          </cell>
          <cell r="BP2245">
            <v>0</v>
          </cell>
        </row>
        <row r="2246">
          <cell r="B2246">
            <v>2020000100409</v>
          </cell>
          <cell r="BP2246">
            <v>51.6</v>
          </cell>
        </row>
        <row r="2247">
          <cell r="B2247">
            <v>2012000030051</v>
          </cell>
          <cell r="BP2247">
            <v>19.5</v>
          </cell>
        </row>
        <row r="2248">
          <cell r="B2248">
            <v>2012000030052</v>
          </cell>
          <cell r="BP2248">
            <v>0</v>
          </cell>
        </row>
        <row r="2249">
          <cell r="B2249">
            <v>2012000100167</v>
          </cell>
          <cell r="BP2249">
            <v>20.5</v>
          </cell>
        </row>
        <row r="2250">
          <cell r="B2250">
            <v>2012000100180</v>
          </cell>
          <cell r="BP2250">
            <v>19.5</v>
          </cell>
        </row>
        <row r="2251">
          <cell r="B2251">
            <v>2013000100076</v>
          </cell>
          <cell r="BP2251">
            <v>0</v>
          </cell>
        </row>
        <row r="2252">
          <cell r="B2252">
            <v>2015000030062</v>
          </cell>
          <cell r="BP2252">
            <v>50</v>
          </cell>
        </row>
        <row r="2253">
          <cell r="B2253">
            <v>2016000030015</v>
          </cell>
          <cell r="BP2253">
            <v>100</v>
          </cell>
        </row>
        <row r="2254">
          <cell r="B2254">
            <v>2016000030027</v>
          </cell>
          <cell r="BP2254">
            <v>19.5</v>
          </cell>
        </row>
        <row r="2255">
          <cell r="B2255">
            <v>2016000030039</v>
          </cell>
          <cell r="BP2255">
            <v>47</v>
          </cell>
        </row>
        <row r="2256">
          <cell r="B2256">
            <v>2017000030022</v>
          </cell>
          <cell r="BP2256">
            <v>7.5</v>
          </cell>
        </row>
        <row r="2257">
          <cell r="B2257">
            <v>2017000030074</v>
          </cell>
          <cell r="BP2257">
            <v>30.5</v>
          </cell>
        </row>
        <row r="2258">
          <cell r="B2258">
            <v>2018000030013</v>
          </cell>
          <cell r="BP2258">
            <v>31.8</v>
          </cell>
        </row>
        <row r="2259">
          <cell r="B2259">
            <v>2018000030025</v>
          </cell>
          <cell r="BP2259">
            <v>0</v>
          </cell>
        </row>
        <row r="2260">
          <cell r="B2260">
            <v>2018000030027</v>
          </cell>
          <cell r="BP2260">
            <v>10</v>
          </cell>
        </row>
        <row r="2261">
          <cell r="B2261">
            <v>2018000030092</v>
          </cell>
          <cell r="BP2261">
            <v>44.5</v>
          </cell>
        </row>
        <row r="2262">
          <cell r="B2262">
            <v>2018000030157</v>
          </cell>
          <cell r="BP2262">
            <v>0</v>
          </cell>
        </row>
        <row r="2263">
          <cell r="B2263">
            <v>2018000030167</v>
          </cell>
          <cell r="BP2263">
            <v>13</v>
          </cell>
        </row>
        <row r="2264">
          <cell r="B2264">
            <v>2018000030179</v>
          </cell>
          <cell r="BP2264">
            <v>98</v>
          </cell>
        </row>
        <row r="2265">
          <cell r="B2265">
            <v>2018000030189</v>
          </cell>
          <cell r="BP2265">
            <v>0</v>
          </cell>
        </row>
        <row r="2266">
          <cell r="B2266">
            <v>2018000030204</v>
          </cell>
          <cell r="BP2266">
            <v>35.6</v>
          </cell>
        </row>
        <row r="2267">
          <cell r="B2267">
            <v>2018000100043</v>
          </cell>
          <cell r="BP2267">
            <v>4.5</v>
          </cell>
        </row>
        <row r="2268">
          <cell r="B2268">
            <v>2018003190111</v>
          </cell>
          <cell r="BP2268">
            <v>41.5</v>
          </cell>
        </row>
        <row r="2269">
          <cell r="B2269">
            <v>20181301011767</v>
          </cell>
          <cell r="BP2269">
            <v>19.5</v>
          </cell>
        </row>
        <row r="2270">
          <cell r="B2270">
            <v>2019000030026</v>
          </cell>
          <cell r="BP2270">
            <v>50</v>
          </cell>
        </row>
        <row r="2271">
          <cell r="B2271">
            <v>2019000030031</v>
          </cell>
          <cell r="BP2271">
            <v>0</v>
          </cell>
        </row>
        <row r="2272">
          <cell r="B2272">
            <v>2019000030033</v>
          </cell>
          <cell r="BP2272">
            <v>36</v>
          </cell>
        </row>
        <row r="2273">
          <cell r="B2273">
            <v>2019000030035</v>
          </cell>
          <cell r="BP2273">
            <v>49</v>
          </cell>
        </row>
        <row r="2274">
          <cell r="B2274">
            <v>2019000030054</v>
          </cell>
          <cell r="BP2274">
            <v>0</v>
          </cell>
        </row>
        <row r="2275">
          <cell r="B2275">
            <v>2019000030060</v>
          </cell>
          <cell r="BP2275">
            <v>0</v>
          </cell>
        </row>
        <row r="2276">
          <cell r="B2276">
            <v>2019000030087</v>
          </cell>
          <cell r="BP2276">
            <v>3.5</v>
          </cell>
        </row>
        <row r="2277">
          <cell r="B2277">
            <v>2019000030153</v>
          </cell>
          <cell r="BP2277">
            <v>48.6</v>
          </cell>
        </row>
        <row r="2278">
          <cell r="B2278">
            <v>2019000030176</v>
          </cell>
          <cell r="BP2278">
            <v>100</v>
          </cell>
        </row>
        <row r="2279">
          <cell r="B2279">
            <v>2019000030181</v>
          </cell>
          <cell r="BP2279">
            <v>46.5</v>
          </cell>
        </row>
        <row r="2280">
          <cell r="B2280">
            <v>2019000030194</v>
          </cell>
          <cell r="BP2280">
            <v>0</v>
          </cell>
        </row>
        <row r="2281">
          <cell r="B2281">
            <v>2019003190203</v>
          </cell>
          <cell r="BP2281">
            <v>0</v>
          </cell>
        </row>
        <row r="2282">
          <cell r="B2282">
            <v>2020000030067</v>
          </cell>
          <cell r="BP2282">
            <v>100</v>
          </cell>
        </row>
        <row r="2283">
          <cell r="B2283">
            <v>2020000030081</v>
          </cell>
          <cell r="BP2283">
            <v>0</v>
          </cell>
        </row>
        <row r="2284">
          <cell r="B2284">
            <v>2020000030138</v>
          </cell>
          <cell r="BP2284">
            <v>40.799999999999997</v>
          </cell>
        </row>
        <row r="2285">
          <cell r="B2285">
            <v>20201301012241</v>
          </cell>
          <cell r="BP2285">
            <v>6.5</v>
          </cell>
        </row>
        <row r="2286">
          <cell r="B2286">
            <v>2021003190014</v>
          </cell>
          <cell r="BP2286">
            <v>0</v>
          </cell>
        </row>
        <row r="2287">
          <cell r="B2287">
            <v>2021003190029</v>
          </cell>
          <cell r="BP2287">
            <v>100</v>
          </cell>
        </row>
        <row r="2288">
          <cell r="B2288">
            <v>2021003190183</v>
          </cell>
          <cell r="BP2288">
            <v>2</v>
          </cell>
        </row>
        <row r="2289">
          <cell r="B2289">
            <v>2022000030023</v>
          </cell>
          <cell r="BP2289">
            <v>0</v>
          </cell>
        </row>
        <row r="2290">
          <cell r="B2290">
            <v>2022003190010</v>
          </cell>
          <cell r="BP2290">
            <v>100</v>
          </cell>
        </row>
        <row r="2291">
          <cell r="B2291">
            <v>2022003190029</v>
          </cell>
          <cell r="BP2291">
            <v>40</v>
          </cell>
        </row>
        <row r="2292">
          <cell r="B2292">
            <v>2023003190001</v>
          </cell>
          <cell r="BP2292">
            <v>0</v>
          </cell>
        </row>
        <row r="2293">
          <cell r="B2293">
            <v>2023003190011</v>
          </cell>
          <cell r="BP2293">
            <v>30</v>
          </cell>
        </row>
        <row r="2294">
          <cell r="B2294">
            <v>2023003190021</v>
          </cell>
          <cell r="BP2294">
            <v>64.400000000000006</v>
          </cell>
        </row>
        <row r="2295">
          <cell r="B2295">
            <v>2023003190057</v>
          </cell>
          <cell r="BP2295">
            <v>100</v>
          </cell>
        </row>
        <row r="2296">
          <cell r="B2296">
            <v>2023003190074</v>
          </cell>
          <cell r="BP2296">
            <v>100</v>
          </cell>
        </row>
        <row r="2297">
          <cell r="B2297">
            <v>2024000030005</v>
          </cell>
          <cell r="BP2297">
            <v>0</v>
          </cell>
        </row>
        <row r="2298">
          <cell r="B2298">
            <v>2025000030006</v>
          </cell>
          <cell r="BP2298">
            <v>11</v>
          </cell>
        </row>
        <row r="2299">
          <cell r="B2299">
            <v>20201301010496</v>
          </cell>
          <cell r="BP2299">
            <v>100</v>
          </cell>
        </row>
        <row r="2300">
          <cell r="B2300">
            <v>2024003190090</v>
          </cell>
          <cell r="BP2300">
            <v>100</v>
          </cell>
        </row>
        <row r="2301">
          <cell r="B2301">
            <v>2023003190138</v>
          </cell>
          <cell r="BP2301">
            <v>0</v>
          </cell>
        </row>
        <row r="2302">
          <cell r="B2302">
            <v>2021003190069</v>
          </cell>
          <cell r="BP2302">
            <v>89</v>
          </cell>
        </row>
        <row r="2303">
          <cell r="B2303">
            <v>2024003190034</v>
          </cell>
          <cell r="BP2303">
            <v>61.9</v>
          </cell>
        </row>
        <row r="2304">
          <cell r="B2304">
            <v>2024003190045</v>
          </cell>
          <cell r="BP2304">
            <v>84</v>
          </cell>
        </row>
        <row r="2305">
          <cell r="B2305">
            <v>2024003190091</v>
          </cell>
          <cell r="BP2305">
            <v>100</v>
          </cell>
        </row>
        <row r="2306">
          <cell r="B2306">
            <v>2025003190002</v>
          </cell>
          <cell r="BP2306">
            <v>93.6</v>
          </cell>
        </row>
        <row r="2307">
          <cell r="B2307">
            <v>2025003190003</v>
          </cell>
          <cell r="BP2307">
            <v>60</v>
          </cell>
        </row>
        <row r="2308">
          <cell r="B2308">
            <v>2025003190004</v>
          </cell>
          <cell r="BP2308">
            <v>100</v>
          </cell>
        </row>
        <row r="2309">
          <cell r="B2309">
            <v>2025003190006</v>
          </cell>
          <cell r="BP2309">
            <v>68.8</v>
          </cell>
        </row>
        <row r="2310">
          <cell r="B2310">
            <v>2024003190076</v>
          </cell>
          <cell r="BP2310">
            <v>100</v>
          </cell>
        </row>
        <row r="2311">
          <cell r="B2311">
            <v>2020000100086</v>
          </cell>
          <cell r="BP2311">
            <v>0</v>
          </cell>
        </row>
        <row r="2312">
          <cell r="B2312">
            <v>2021000100335</v>
          </cell>
          <cell r="BP2312">
            <v>22.4</v>
          </cell>
        </row>
        <row r="2313">
          <cell r="B2313">
            <v>2024003190089</v>
          </cell>
          <cell r="BP2313">
            <v>100</v>
          </cell>
        </row>
        <row r="2314">
          <cell r="B2314">
            <v>2020000100326</v>
          </cell>
          <cell r="BP2314">
            <v>0</v>
          </cell>
        </row>
        <row r="2315">
          <cell r="B2315">
            <v>2017000100093</v>
          </cell>
          <cell r="BP2315">
            <v>60</v>
          </cell>
        </row>
        <row r="2316">
          <cell r="B2316">
            <v>2017000100096</v>
          </cell>
          <cell r="BP2316">
            <v>60</v>
          </cell>
        </row>
        <row r="2317">
          <cell r="B2317">
            <v>2018000100169</v>
          </cell>
          <cell r="BP2317">
            <v>100</v>
          </cell>
        </row>
        <row r="2318">
          <cell r="B2318">
            <v>2021003190065</v>
          </cell>
          <cell r="BP2318">
            <v>94.8</v>
          </cell>
        </row>
        <row r="2319">
          <cell r="B2319">
            <v>2021003190033</v>
          </cell>
          <cell r="BP2319">
            <v>50</v>
          </cell>
        </row>
        <row r="2320">
          <cell r="B2320">
            <v>2022003190168</v>
          </cell>
          <cell r="BP2320">
            <v>100</v>
          </cell>
        </row>
        <row r="2321">
          <cell r="B2321">
            <v>2024003190066</v>
          </cell>
          <cell r="BP2321">
            <v>46</v>
          </cell>
        </row>
        <row r="2322">
          <cell r="B2322">
            <v>2020000030045</v>
          </cell>
          <cell r="BP2322">
            <v>30</v>
          </cell>
        </row>
        <row r="2323">
          <cell r="B2323">
            <v>2022003190027</v>
          </cell>
          <cell r="BP2323">
            <v>0</v>
          </cell>
        </row>
        <row r="2324">
          <cell r="B2324">
            <v>2024000100045</v>
          </cell>
          <cell r="BP2324">
            <v>100</v>
          </cell>
        </row>
        <row r="2325">
          <cell r="B2325">
            <v>2021000100345</v>
          </cell>
          <cell r="BP2325">
            <v>88.3</v>
          </cell>
        </row>
        <row r="2326">
          <cell r="B2326">
            <v>2012000100187</v>
          </cell>
          <cell r="BP2326">
            <v>25.5</v>
          </cell>
        </row>
        <row r="2327">
          <cell r="B2327">
            <v>2014000030063</v>
          </cell>
          <cell r="BP2327">
            <v>2</v>
          </cell>
        </row>
        <row r="2328">
          <cell r="B2328">
            <v>2018000100041</v>
          </cell>
          <cell r="BP2328">
            <v>24.5</v>
          </cell>
        </row>
        <row r="2329">
          <cell r="B2329">
            <v>2018000100042</v>
          </cell>
          <cell r="BP2329">
            <v>45.6</v>
          </cell>
        </row>
        <row r="2330">
          <cell r="B2330">
            <v>2018000100167</v>
          </cell>
          <cell r="BP2330">
            <v>50</v>
          </cell>
        </row>
        <row r="2331">
          <cell r="B2331">
            <v>2018000100185</v>
          </cell>
          <cell r="BP2331">
            <v>60</v>
          </cell>
        </row>
        <row r="2332">
          <cell r="B2332">
            <v>2019000030155</v>
          </cell>
          <cell r="BP2332">
            <v>0</v>
          </cell>
        </row>
        <row r="2333">
          <cell r="B2333">
            <v>2019000100046</v>
          </cell>
          <cell r="BP2333">
            <v>74.400000000000006</v>
          </cell>
        </row>
        <row r="2334">
          <cell r="B2334">
            <v>2020000100043</v>
          </cell>
          <cell r="BP2334">
            <v>45.5</v>
          </cell>
        </row>
        <row r="2335">
          <cell r="B2335">
            <v>2020000100052</v>
          </cell>
          <cell r="BP2335">
            <v>0</v>
          </cell>
        </row>
        <row r="2336">
          <cell r="B2336">
            <v>2020000100098</v>
          </cell>
          <cell r="BP2336">
            <v>44.6</v>
          </cell>
        </row>
        <row r="2337">
          <cell r="B2337">
            <v>2020000100319</v>
          </cell>
          <cell r="BP2337">
            <v>100</v>
          </cell>
        </row>
        <row r="2338">
          <cell r="B2338">
            <v>2020000100482</v>
          </cell>
          <cell r="BP2338">
            <v>77</v>
          </cell>
        </row>
        <row r="2339">
          <cell r="B2339">
            <v>2020000100654</v>
          </cell>
          <cell r="BP2339">
            <v>50</v>
          </cell>
        </row>
        <row r="2340">
          <cell r="B2340">
            <v>2020000100714</v>
          </cell>
          <cell r="BP2340">
            <v>6.5</v>
          </cell>
        </row>
        <row r="2341">
          <cell r="B2341">
            <v>2021000100129</v>
          </cell>
          <cell r="BP2341">
            <v>98.4</v>
          </cell>
        </row>
        <row r="2342">
          <cell r="B2342">
            <v>2021000100534</v>
          </cell>
          <cell r="BP2342">
            <v>100</v>
          </cell>
        </row>
        <row r="2343">
          <cell r="B2343">
            <v>2019000100012</v>
          </cell>
          <cell r="BP2343">
            <v>77.599999999999994</v>
          </cell>
        </row>
        <row r="2344">
          <cell r="B2344">
            <v>2020000100625</v>
          </cell>
          <cell r="BP2344">
            <v>100</v>
          </cell>
        </row>
        <row r="2345">
          <cell r="B2345">
            <v>2023000100003</v>
          </cell>
          <cell r="BP2345">
            <v>50</v>
          </cell>
        </row>
        <row r="2346">
          <cell r="B2346">
            <v>2024192120012</v>
          </cell>
          <cell r="BP2346">
            <v>0</v>
          </cell>
        </row>
        <row r="2347">
          <cell r="B2347">
            <v>2024192120013</v>
          </cell>
          <cell r="BP2347">
            <v>0</v>
          </cell>
        </row>
        <row r="2348">
          <cell r="B2348">
            <v>20181301011630</v>
          </cell>
          <cell r="BP2348">
            <v>0</v>
          </cell>
        </row>
        <row r="2349">
          <cell r="B2349">
            <v>2025192560001</v>
          </cell>
          <cell r="BP2349">
            <v>0</v>
          </cell>
        </row>
        <row r="2350">
          <cell r="B2350">
            <v>2025192560003</v>
          </cell>
          <cell r="BP2350">
            <v>65.599999999999994</v>
          </cell>
        </row>
        <row r="2351">
          <cell r="B2351">
            <v>2025192560004</v>
          </cell>
          <cell r="BP2351">
            <v>58</v>
          </cell>
        </row>
        <row r="2352">
          <cell r="B2352">
            <v>2025193180001</v>
          </cell>
          <cell r="BP2352">
            <v>60</v>
          </cell>
        </row>
        <row r="2353">
          <cell r="B2353">
            <v>2025193180002</v>
          </cell>
          <cell r="BP2353">
            <v>75.599999999999994</v>
          </cell>
        </row>
        <row r="2354">
          <cell r="B2354">
            <v>2017193180001</v>
          </cell>
          <cell r="BP2354">
            <v>6</v>
          </cell>
        </row>
        <row r="2355">
          <cell r="B2355">
            <v>2021193180008</v>
          </cell>
          <cell r="BP2355">
            <v>16.5</v>
          </cell>
        </row>
        <row r="2356">
          <cell r="B2356">
            <v>2025193550005</v>
          </cell>
          <cell r="BP2356">
            <v>100</v>
          </cell>
        </row>
        <row r="2357">
          <cell r="B2357">
            <v>2025193550003</v>
          </cell>
          <cell r="BP2357">
            <v>100</v>
          </cell>
        </row>
        <row r="2358">
          <cell r="B2358">
            <v>2023193640030</v>
          </cell>
          <cell r="BP2358">
            <v>22</v>
          </cell>
        </row>
        <row r="2359">
          <cell r="B2359">
            <v>2025193640002</v>
          </cell>
          <cell r="BP2359">
            <v>100</v>
          </cell>
        </row>
        <row r="2360">
          <cell r="B2360">
            <v>2022000030032</v>
          </cell>
          <cell r="BP2360">
            <v>0</v>
          </cell>
        </row>
        <row r="2361">
          <cell r="B2361">
            <v>2023193920018</v>
          </cell>
          <cell r="BP2361">
            <v>35.4</v>
          </cell>
        </row>
        <row r="2362">
          <cell r="B2362">
            <v>2025193920001</v>
          </cell>
          <cell r="BP2362">
            <v>80</v>
          </cell>
        </row>
        <row r="2363">
          <cell r="B2363">
            <v>20211301011370</v>
          </cell>
          <cell r="BP2363">
            <v>40</v>
          </cell>
        </row>
        <row r="2364">
          <cell r="B2364">
            <v>2025194180001</v>
          </cell>
          <cell r="BP2364">
            <v>100</v>
          </cell>
        </row>
        <row r="2365">
          <cell r="B2365">
            <v>20211301012325</v>
          </cell>
          <cell r="BP2365">
            <v>76</v>
          </cell>
        </row>
        <row r="2366">
          <cell r="B2366">
            <v>20201301011977</v>
          </cell>
          <cell r="BP2366">
            <v>100</v>
          </cell>
        </row>
        <row r="2367">
          <cell r="B2367">
            <v>20211301012319</v>
          </cell>
          <cell r="BP2367">
            <v>100</v>
          </cell>
        </row>
        <row r="2368">
          <cell r="B2368">
            <v>2024194550050</v>
          </cell>
          <cell r="BP2368">
            <v>39.799999999999997</v>
          </cell>
        </row>
        <row r="2369">
          <cell r="B2369">
            <v>2023194550041</v>
          </cell>
          <cell r="BP2369">
            <v>50</v>
          </cell>
        </row>
        <row r="2370">
          <cell r="B2370">
            <v>20241301010275</v>
          </cell>
          <cell r="BP2370">
            <v>62</v>
          </cell>
        </row>
        <row r="2371">
          <cell r="B2371">
            <v>2025194550002</v>
          </cell>
          <cell r="BP2371">
            <v>61.6</v>
          </cell>
        </row>
        <row r="2372">
          <cell r="B2372">
            <v>2025194730002</v>
          </cell>
          <cell r="BP2372">
            <v>100</v>
          </cell>
        </row>
        <row r="2373">
          <cell r="B2373">
            <v>2025194730004</v>
          </cell>
          <cell r="BP2373">
            <v>40</v>
          </cell>
        </row>
        <row r="2374">
          <cell r="B2374">
            <v>20231301010017</v>
          </cell>
          <cell r="BP2374">
            <v>92.2</v>
          </cell>
        </row>
        <row r="2375">
          <cell r="B2375">
            <v>2021195130038</v>
          </cell>
          <cell r="BP2375">
            <v>66.8</v>
          </cell>
        </row>
        <row r="2376">
          <cell r="B2376">
            <v>2025195170001</v>
          </cell>
          <cell r="BP2376">
            <v>89</v>
          </cell>
        </row>
        <row r="2377">
          <cell r="B2377">
            <v>2025195170002</v>
          </cell>
          <cell r="BP2377">
            <v>100</v>
          </cell>
        </row>
        <row r="2378">
          <cell r="B2378">
            <v>2024195330041</v>
          </cell>
          <cell r="BP2378">
            <v>91.2</v>
          </cell>
        </row>
        <row r="2379">
          <cell r="B2379">
            <v>2025195330001</v>
          </cell>
          <cell r="BP2379">
            <v>75</v>
          </cell>
        </row>
        <row r="2380">
          <cell r="B2380">
            <v>2024195480044</v>
          </cell>
          <cell r="BP2380">
            <v>100</v>
          </cell>
        </row>
        <row r="2381">
          <cell r="B2381">
            <v>2014195480002</v>
          </cell>
          <cell r="BP2381">
            <v>0</v>
          </cell>
        </row>
        <row r="2382">
          <cell r="B2382">
            <v>2017195480004</v>
          </cell>
          <cell r="BP2382">
            <v>0</v>
          </cell>
        </row>
        <row r="2383">
          <cell r="B2383">
            <v>2020195480026</v>
          </cell>
          <cell r="BP2383">
            <v>100</v>
          </cell>
        </row>
        <row r="2384">
          <cell r="B2384">
            <v>20241301010040</v>
          </cell>
          <cell r="BP2384">
            <v>100</v>
          </cell>
        </row>
        <row r="2385">
          <cell r="B2385">
            <v>2024195730017</v>
          </cell>
          <cell r="BP2385">
            <v>100</v>
          </cell>
        </row>
        <row r="2386">
          <cell r="B2386">
            <v>2024195730035</v>
          </cell>
          <cell r="BP2386">
            <v>85.1</v>
          </cell>
        </row>
        <row r="2387">
          <cell r="B2387">
            <v>2017195730001</v>
          </cell>
          <cell r="BP2387">
            <v>73.599999999999994</v>
          </cell>
        </row>
        <row r="2388">
          <cell r="B2388">
            <v>2025195730001</v>
          </cell>
          <cell r="BP2388">
            <v>0</v>
          </cell>
        </row>
        <row r="2389">
          <cell r="B2389">
            <v>2025195850002</v>
          </cell>
          <cell r="BP2389">
            <v>89</v>
          </cell>
        </row>
        <row r="2390">
          <cell r="B2390" t="str">
            <v>2024M001860001</v>
          </cell>
          <cell r="BP2390">
            <v>100</v>
          </cell>
        </row>
        <row r="2391">
          <cell r="B2391">
            <v>2020003190114</v>
          </cell>
          <cell r="BP2391">
            <v>62</v>
          </cell>
        </row>
        <row r="2392">
          <cell r="B2392">
            <v>2025196220004</v>
          </cell>
          <cell r="BP2392">
            <v>100</v>
          </cell>
        </row>
        <row r="2393">
          <cell r="B2393">
            <v>2025196220005</v>
          </cell>
          <cell r="BP2393">
            <v>100</v>
          </cell>
        </row>
        <row r="2394">
          <cell r="B2394">
            <v>2025196220001</v>
          </cell>
          <cell r="BP2394">
            <v>0</v>
          </cell>
        </row>
        <row r="2395">
          <cell r="B2395">
            <v>2025196220002</v>
          </cell>
          <cell r="BP2395">
            <v>100</v>
          </cell>
        </row>
        <row r="2396">
          <cell r="B2396">
            <v>2024196980182</v>
          </cell>
          <cell r="BP2396">
            <v>47.8</v>
          </cell>
        </row>
        <row r="2397">
          <cell r="B2397">
            <v>2023196980162</v>
          </cell>
          <cell r="BP2397">
            <v>0</v>
          </cell>
        </row>
        <row r="2398">
          <cell r="B2398">
            <v>2023197430046</v>
          </cell>
          <cell r="BP2398">
            <v>90</v>
          </cell>
        </row>
        <row r="2399">
          <cell r="B2399">
            <v>2024197430078</v>
          </cell>
          <cell r="BP2399">
            <v>100</v>
          </cell>
        </row>
        <row r="2400">
          <cell r="B2400">
            <v>2021197430016</v>
          </cell>
          <cell r="BP2400">
            <v>0</v>
          </cell>
        </row>
        <row r="2401">
          <cell r="B2401">
            <v>2026197430001</v>
          </cell>
          <cell r="BP2401">
            <v>52.6</v>
          </cell>
        </row>
        <row r="2402">
          <cell r="B2402">
            <v>2019003190069</v>
          </cell>
          <cell r="BP2402">
            <v>100</v>
          </cell>
        </row>
        <row r="2403">
          <cell r="B2403">
            <v>2025197600001</v>
          </cell>
          <cell r="BP2403">
            <v>100</v>
          </cell>
        </row>
        <row r="2404">
          <cell r="B2404">
            <v>2025197800004</v>
          </cell>
          <cell r="BP2404">
            <v>50</v>
          </cell>
        </row>
        <row r="2405">
          <cell r="B2405">
            <v>2025197800008</v>
          </cell>
          <cell r="BP2405">
            <v>84.8</v>
          </cell>
        </row>
        <row r="2406">
          <cell r="B2406">
            <v>2025197800010</v>
          </cell>
          <cell r="BP2406">
            <v>40</v>
          </cell>
        </row>
        <row r="2407">
          <cell r="B2407">
            <v>2025197800012</v>
          </cell>
          <cell r="BP2407">
            <v>100</v>
          </cell>
        </row>
        <row r="2408">
          <cell r="B2408">
            <v>2026197800001</v>
          </cell>
          <cell r="BP2408">
            <v>100</v>
          </cell>
        </row>
        <row r="2409">
          <cell r="B2409">
            <v>20181301010785</v>
          </cell>
          <cell r="BP2409">
            <v>50</v>
          </cell>
        </row>
        <row r="2410">
          <cell r="B2410">
            <v>2018197850004</v>
          </cell>
          <cell r="BP2410">
            <v>0</v>
          </cell>
        </row>
        <row r="2411">
          <cell r="B2411">
            <v>2021197850038</v>
          </cell>
          <cell r="BP2411">
            <v>0</v>
          </cell>
        </row>
        <row r="2412">
          <cell r="B2412">
            <v>2023197850026</v>
          </cell>
          <cell r="BP2412">
            <v>67</v>
          </cell>
        </row>
        <row r="2413">
          <cell r="B2413">
            <v>2025197850001</v>
          </cell>
          <cell r="BP2413">
            <v>50</v>
          </cell>
        </row>
        <row r="2414">
          <cell r="B2414">
            <v>2025197850003</v>
          </cell>
          <cell r="BP2414">
            <v>100</v>
          </cell>
        </row>
        <row r="2415">
          <cell r="B2415">
            <v>2023197850033</v>
          </cell>
          <cell r="BP2415">
            <v>0</v>
          </cell>
        </row>
        <row r="2416">
          <cell r="B2416">
            <v>2023197850032</v>
          </cell>
          <cell r="BP2416">
            <v>0</v>
          </cell>
        </row>
        <row r="2417">
          <cell r="B2417">
            <v>20181301010805</v>
          </cell>
          <cell r="BP2417">
            <v>0</v>
          </cell>
        </row>
        <row r="2418">
          <cell r="B2418">
            <v>2022198070001</v>
          </cell>
          <cell r="BP2418">
            <v>0</v>
          </cell>
        </row>
        <row r="2419">
          <cell r="B2419">
            <v>2022198070002</v>
          </cell>
          <cell r="BP2419">
            <v>0</v>
          </cell>
        </row>
        <row r="2420">
          <cell r="B2420">
            <v>2022198070023</v>
          </cell>
          <cell r="BP2420">
            <v>0</v>
          </cell>
        </row>
        <row r="2421">
          <cell r="B2421">
            <v>2023198070022</v>
          </cell>
          <cell r="BP2421">
            <v>0</v>
          </cell>
        </row>
        <row r="2422">
          <cell r="B2422">
            <v>2023198070028</v>
          </cell>
          <cell r="BP2422">
            <v>0</v>
          </cell>
        </row>
        <row r="2423">
          <cell r="B2423">
            <v>2025198090002</v>
          </cell>
          <cell r="BP2423">
            <v>60</v>
          </cell>
        </row>
        <row r="2424">
          <cell r="B2424">
            <v>2025198090003</v>
          </cell>
          <cell r="BP2424">
            <v>100</v>
          </cell>
        </row>
        <row r="2425">
          <cell r="B2425">
            <v>20251301010134</v>
          </cell>
          <cell r="BP2425">
            <v>95.6</v>
          </cell>
        </row>
        <row r="2426">
          <cell r="B2426">
            <v>2025198090001</v>
          </cell>
          <cell r="BP2426">
            <v>0</v>
          </cell>
        </row>
        <row r="2427">
          <cell r="B2427">
            <v>20201301011721</v>
          </cell>
          <cell r="BP2427">
            <v>100</v>
          </cell>
        </row>
        <row r="2428">
          <cell r="B2428">
            <v>2022198090094</v>
          </cell>
          <cell r="BP2428">
            <v>50</v>
          </cell>
        </row>
        <row r="2429">
          <cell r="B2429">
            <v>20201301011888</v>
          </cell>
          <cell r="BP2429">
            <v>24.5</v>
          </cell>
        </row>
        <row r="2430">
          <cell r="B2430">
            <v>2025198210001</v>
          </cell>
          <cell r="BP2430">
            <v>67.599999999999994</v>
          </cell>
        </row>
        <row r="2431">
          <cell r="B2431">
            <v>2025198240001</v>
          </cell>
          <cell r="BP2431">
            <v>26.7</v>
          </cell>
        </row>
        <row r="2432">
          <cell r="B2432">
            <v>2020198240029</v>
          </cell>
          <cell r="BP2432">
            <v>0</v>
          </cell>
        </row>
        <row r="2433">
          <cell r="B2433">
            <v>2021198240022</v>
          </cell>
          <cell r="BP2433">
            <v>50</v>
          </cell>
        </row>
        <row r="2434">
          <cell r="B2434">
            <v>2025198450001</v>
          </cell>
          <cell r="BP2434">
            <v>89</v>
          </cell>
        </row>
        <row r="2435">
          <cell r="B2435">
            <v>2025198450002</v>
          </cell>
          <cell r="BP2435">
            <v>100</v>
          </cell>
        </row>
        <row r="2436">
          <cell r="B2436">
            <v>2022200110039</v>
          </cell>
          <cell r="BP2436">
            <v>42</v>
          </cell>
        </row>
        <row r="2437">
          <cell r="B2437" t="str">
            <v>2025N002080001</v>
          </cell>
          <cell r="BP2437">
            <v>0</v>
          </cell>
        </row>
        <row r="2438">
          <cell r="B2438" t="str">
            <v>2025N007600003</v>
          </cell>
          <cell r="BP2438">
            <v>80</v>
          </cell>
        </row>
        <row r="2439">
          <cell r="B2439" t="str">
            <v>2025N004680002</v>
          </cell>
          <cell r="BP2439">
            <v>53.8</v>
          </cell>
        </row>
        <row r="2440">
          <cell r="B2440">
            <v>2025200130005</v>
          </cell>
          <cell r="BP2440">
            <v>100</v>
          </cell>
        </row>
        <row r="2441">
          <cell r="B2441">
            <v>2025200130009</v>
          </cell>
          <cell r="BP2441">
            <v>100</v>
          </cell>
        </row>
        <row r="2442">
          <cell r="B2442">
            <v>2025200130013</v>
          </cell>
          <cell r="BP2442">
            <v>60</v>
          </cell>
        </row>
        <row r="2443">
          <cell r="B2443">
            <v>2024200130056</v>
          </cell>
          <cell r="BP2443">
            <v>100</v>
          </cell>
        </row>
        <row r="2444">
          <cell r="B2444">
            <v>2024200130077</v>
          </cell>
          <cell r="BP2444">
            <v>100</v>
          </cell>
        </row>
        <row r="2445">
          <cell r="B2445">
            <v>2025200130006</v>
          </cell>
          <cell r="BP2445">
            <v>54.8</v>
          </cell>
        </row>
        <row r="2446">
          <cell r="B2446">
            <v>2025002200006</v>
          </cell>
          <cell r="BP2446">
            <v>75.2</v>
          </cell>
        </row>
        <row r="2447">
          <cell r="B2447">
            <v>2026200130003</v>
          </cell>
          <cell r="BP2447">
            <v>100</v>
          </cell>
        </row>
        <row r="2448">
          <cell r="B2448">
            <v>20253219000003</v>
          </cell>
          <cell r="BP2448">
            <v>68</v>
          </cell>
        </row>
        <row r="2449">
          <cell r="B2449">
            <v>20243219000008</v>
          </cell>
          <cell r="BP2449">
            <v>74.400000000000006</v>
          </cell>
        </row>
        <row r="2450">
          <cell r="B2450">
            <v>20253219000007</v>
          </cell>
          <cell r="BP2450">
            <v>83.2</v>
          </cell>
        </row>
        <row r="2451">
          <cell r="B2451">
            <v>2025200450027</v>
          </cell>
          <cell r="BP2451">
            <v>100</v>
          </cell>
        </row>
        <row r="2452">
          <cell r="B2452">
            <v>20251301010258</v>
          </cell>
          <cell r="BP2452">
            <v>40</v>
          </cell>
        </row>
        <row r="2453">
          <cell r="B2453">
            <v>20251301010259</v>
          </cell>
          <cell r="BP2453">
            <v>40</v>
          </cell>
        </row>
        <row r="2454">
          <cell r="B2454">
            <v>2025200450020</v>
          </cell>
          <cell r="BP2454">
            <v>67.2</v>
          </cell>
        </row>
        <row r="2455">
          <cell r="B2455">
            <v>2025200450023</v>
          </cell>
          <cell r="BP2455">
            <v>80</v>
          </cell>
        </row>
        <row r="2456">
          <cell r="B2456">
            <v>2025200450025</v>
          </cell>
          <cell r="BP2456">
            <v>89</v>
          </cell>
        </row>
        <row r="2457">
          <cell r="B2457">
            <v>2025200450026</v>
          </cell>
          <cell r="BP2457">
            <v>88.4</v>
          </cell>
        </row>
        <row r="2458">
          <cell r="B2458">
            <v>2025200450029</v>
          </cell>
          <cell r="BP2458">
            <v>100</v>
          </cell>
        </row>
        <row r="2459">
          <cell r="B2459">
            <v>2025200450030</v>
          </cell>
          <cell r="BP2459">
            <v>53.4</v>
          </cell>
        </row>
        <row r="2460">
          <cell r="B2460">
            <v>2026200450002</v>
          </cell>
          <cell r="BP2460">
            <v>100</v>
          </cell>
        </row>
        <row r="2461">
          <cell r="B2461">
            <v>2025200450012</v>
          </cell>
          <cell r="BP2461">
            <v>78.8</v>
          </cell>
        </row>
        <row r="2462">
          <cell r="B2462">
            <v>2025200450021</v>
          </cell>
          <cell r="BP2462">
            <v>100</v>
          </cell>
        </row>
        <row r="2463">
          <cell r="B2463">
            <v>2023200450012</v>
          </cell>
          <cell r="BP2463">
            <v>50</v>
          </cell>
        </row>
        <row r="2464">
          <cell r="B2464">
            <v>2024200450015</v>
          </cell>
          <cell r="BP2464">
            <v>100</v>
          </cell>
        </row>
        <row r="2465">
          <cell r="B2465">
            <v>2024200450018</v>
          </cell>
          <cell r="BP2465">
            <v>100</v>
          </cell>
        </row>
        <row r="2466">
          <cell r="B2466">
            <v>2024200450051</v>
          </cell>
          <cell r="BP2466">
            <v>100</v>
          </cell>
        </row>
        <row r="2467">
          <cell r="B2467">
            <v>2024200450053</v>
          </cell>
          <cell r="BP2467">
            <v>40</v>
          </cell>
        </row>
        <row r="2468">
          <cell r="B2468" t="str">
            <v>2025M002120001</v>
          </cell>
          <cell r="BP2468">
            <v>100</v>
          </cell>
        </row>
        <row r="2469">
          <cell r="B2469">
            <v>2025200450004</v>
          </cell>
          <cell r="BP2469">
            <v>100</v>
          </cell>
        </row>
        <row r="2470">
          <cell r="B2470">
            <v>2025200450006</v>
          </cell>
          <cell r="BP2470">
            <v>100</v>
          </cell>
        </row>
        <row r="2471">
          <cell r="B2471">
            <v>2025200450007</v>
          </cell>
          <cell r="BP2471">
            <v>100</v>
          </cell>
        </row>
        <row r="2472">
          <cell r="B2472">
            <v>2025200450008</v>
          </cell>
          <cell r="BP2472">
            <v>100</v>
          </cell>
        </row>
        <row r="2473">
          <cell r="B2473">
            <v>2025200450009</v>
          </cell>
          <cell r="BP2473">
            <v>50</v>
          </cell>
        </row>
        <row r="2474">
          <cell r="B2474">
            <v>2025200450010</v>
          </cell>
          <cell r="BP2474">
            <v>76</v>
          </cell>
        </row>
        <row r="2475">
          <cell r="B2475">
            <v>2025200450017</v>
          </cell>
          <cell r="BP2475">
            <v>83.2</v>
          </cell>
        </row>
        <row r="2476">
          <cell r="B2476" t="str">
            <v>2025N002050001</v>
          </cell>
          <cell r="BP2476">
            <v>60</v>
          </cell>
        </row>
        <row r="2477">
          <cell r="B2477">
            <v>2023200450008</v>
          </cell>
          <cell r="BP2477">
            <v>100</v>
          </cell>
        </row>
        <row r="2478">
          <cell r="B2478">
            <v>2023200450002</v>
          </cell>
          <cell r="BP2478">
            <v>100</v>
          </cell>
        </row>
        <row r="2479">
          <cell r="B2479">
            <v>20241301010094</v>
          </cell>
          <cell r="BP2479">
            <v>50</v>
          </cell>
        </row>
        <row r="2480">
          <cell r="B2480">
            <v>20241301010097</v>
          </cell>
          <cell r="BP2480">
            <v>100</v>
          </cell>
        </row>
        <row r="2481">
          <cell r="B2481">
            <v>2025200450018</v>
          </cell>
          <cell r="BP2481">
            <v>100</v>
          </cell>
        </row>
        <row r="2482">
          <cell r="B2482">
            <v>2025200600003</v>
          </cell>
          <cell r="BP2482">
            <v>60</v>
          </cell>
        </row>
        <row r="2483">
          <cell r="B2483">
            <v>2021002200060</v>
          </cell>
          <cell r="BP2483">
            <v>30</v>
          </cell>
        </row>
        <row r="2484">
          <cell r="B2484">
            <v>2022002200161</v>
          </cell>
          <cell r="BP2484">
            <v>92.8</v>
          </cell>
        </row>
        <row r="2485">
          <cell r="B2485">
            <v>2024002200093</v>
          </cell>
          <cell r="BP2485">
            <v>100</v>
          </cell>
        </row>
        <row r="2486">
          <cell r="B2486">
            <v>2025002200023</v>
          </cell>
          <cell r="BP2486">
            <v>0</v>
          </cell>
        </row>
        <row r="2487">
          <cell r="B2487">
            <v>2025002200019</v>
          </cell>
          <cell r="BP2487">
            <v>53.4</v>
          </cell>
        </row>
        <row r="2488">
          <cell r="B2488" t="str">
            <v>2022N001270001</v>
          </cell>
          <cell r="BP2488">
            <v>34.700000000000003</v>
          </cell>
        </row>
        <row r="2489">
          <cell r="B2489" t="str">
            <v>2025N002450002</v>
          </cell>
          <cell r="BP2489">
            <v>80</v>
          </cell>
        </row>
        <row r="2490">
          <cell r="B2490">
            <v>2024002200106</v>
          </cell>
          <cell r="BP2490">
            <v>100</v>
          </cell>
        </row>
        <row r="2491">
          <cell r="B2491">
            <v>2021002200022</v>
          </cell>
          <cell r="BP2491">
            <v>20</v>
          </cell>
        </row>
        <row r="2492">
          <cell r="B2492">
            <v>2023002200078</v>
          </cell>
          <cell r="BP2492">
            <v>100</v>
          </cell>
        </row>
        <row r="2493">
          <cell r="B2493">
            <v>2023002200084</v>
          </cell>
          <cell r="BP2493">
            <v>52.2</v>
          </cell>
        </row>
        <row r="2494">
          <cell r="B2494">
            <v>2023002200085</v>
          </cell>
          <cell r="BP2494">
            <v>0</v>
          </cell>
        </row>
        <row r="2495">
          <cell r="B2495">
            <v>2023002200103</v>
          </cell>
          <cell r="BP2495">
            <v>100</v>
          </cell>
        </row>
        <row r="2496">
          <cell r="B2496">
            <v>2023002200124</v>
          </cell>
          <cell r="BP2496">
            <v>100</v>
          </cell>
        </row>
        <row r="2497">
          <cell r="B2497">
            <v>2024002200075</v>
          </cell>
          <cell r="BP2497">
            <v>100</v>
          </cell>
        </row>
        <row r="2498">
          <cell r="B2498">
            <v>2024002200107</v>
          </cell>
          <cell r="BP2498">
            <v>100</v>
          </cell>
        </row>
        <row r="2499">
          <cell r="B2499">
            <v>2024002200116</v>
          </cell>
          <cell r="BP2499">
            <v>100</v>
          </cell>
        </row>
        <row r="2500">
          <cell r="B2500">
            <v>2024002200118</v>
          </cell>
          <cell r="BP2500">
            <v>96</v>
          </cell>
        </row>
        <row r="2501">
          <cell r="B2501">
            <v>2025002200008</v>
          </cell>
          <cell r="BP2501">
            <v>100</v>
          </cell>
        </row>
        <row r="2502">
          <cell r="B2502">
            <v>2025002200009</v>
          </cell>
          <cell r="BP2502">
            <v>100</v>
          </cell>
        </row>
        <row r="2503">
          <cell r="B2503">
            <v>2025002200011</v>
          </cell>
          <cell r="BP2503">
            <v>88.8</v>
          </cell>
        </row>
        <row r="2504">
          <cell r="B2504">
            <v>2025002200016</v>
          </cell>
          <cell r="BP2504">
            <v>60</v>
          </cell>
        </row>
        <row r="2505">
          <cell r="B2505">
            <v>2025002200018</v>
          </cell>
          <cell r="BP2505">
            <v>97.4</v>
          </cell>
        </row>
        <row r="2506">
          <cell r="B2506">
            <v>2025002200020</v>
          </cell>
          <cell r="BP2506">
            <v>86</v>
          </cell>
        </row>
        <row r="2507">
          <cell r="B2507">
            <v>2025002200021</v>
          </cell>
          <cell r="BP2507">
            <v>83.6</v>
          </cell>
        </row>
        <row r="2508">
          <cell r="B2508">
            <v>2025002200025</v>
          </cell>
          <cell r="BP2508">
            <v>78.400000000000006</v>
          </cell>
        </row>
        <row r="2509">
          <cell r="B2509">
            <v>2025002200028</v>
          </cell>
          <cell r="BP2509">
            <v>0</v>
          </cell>
        </row>
        <row r="2510">
          <cell r="B2510">
            <v>2025002200029</v>
          </cell>
          <cell r="BP2510">
            <v>100</v>
          </cell>
        </row>
        <row r="2511">
          <cell r="B2511">
            <v>2025002200030</v>
          </cell>
          <cell r="BP2511">
            <v>100</v>
          </cell>
        </row>
        <row r="2512">
          <cell r="B2512">
            <v>2025002200034</v>
          </cell>
          <cell r="BP2512">
            <v>100</v>
          </cell>
        </row>
        <row r="2513">
          <cell r="B2513">
            <v>2025002200037</v>
          </cell>
          <cell r="BP2513">
            <v>60</v>
          </cell>
        </row>
        <row r="2514">
          <cell r="B2514">
            <v>2025002200038</v>
          </cell>
          <cell r="BP2514">
            <v>100</v>
          </cell>
        </row>
        <row r="2515">
          <cell r="B2515">
            <v>2025002200039</v>
          </cell>
          <cell r="BP2515">
            <v>100</v>
          </cell>
        </row>
        <row r="2516">
          <cell r="B2516">
            <v>2025002200040</v>
          </cell>
          <cell r="BP2516">
            <v>100</v>
          </cell>
        </row>
        <row r="2517">
          <cell r="B2517">
            <v>2025002200041</v>
          </cell>
          <cell r="BP2517">
            <v>60</v>
          </cell>
        </row>
        <row r="2518">
          <cell r="B2518">
            <v>2025002200042</v>
          </cell>
          <cell r="BP2518">
            <v>89.6</v>
          </cell>
        </row>
        <row r="2519">
          <cell r="B2519">
            <v>2026002200001</v>
          </cell>
          <cell r="BP2519">
            <v>100</v>
          </cell>
        </row>
        <row r="2520">
          <cell r="B2520">
            <v>2025204000016</v>
          </cell>
          <cell r="BP2520">
            <v>100</v>
          </cell>
        </row>
        <row r="2521">
          <cell r="B2521">
            <v>2017000100097</v>
          </cell>
          <cell r="BP2521">
            <v>100</v>
          </cell>
        </row>
        <row r="2522">
          <cell r="B2522">
            <v>2025200320001</v>
          </cell>
          <cell r="BP2522">
            <v>40</v>
          </cell>
        </row>
        <row r="2523">
          <cell r="B2523">
            <v>2025200600002</v>
          </cell>
          <cell r="BP2523">
            <v>91.6</v>
          </cell>
        </row>
        <row r="2524">
          <cell r="B2524">
            <v>2025201750004</v>
          </cell>
          <cell r="BP2524">
            <v>40</v>
          </cell>
        </row>
        <row r="2525">
          <cell r="B2525">
            <v>2025201780007</v>
          </cell>
          <cell r="BP2525">
            <v>100</v>
          </cell>
        </row>
        <row r="2526">
          <cell r="B2526">
            <v>2025202280002</v>
          </cell>
          <cell r="BP2526">
            <v>100</v>
          </cell>
        </row>
        <row r="2527">
          <cell r="B2527">
            <v>2025002200024</v>
          </cell>
          <cell r="BP2527">
            <v>0</v>
          </cell>
        </row>
        <row r="2528">
          <cell r="B2528">
            <v>2025205170003</v>
          </cell>
          <cell r="BP2528">
            <v>89</v>
          </cell>
        </row>
        <row r="2529">
          <cell r="B2529">
            <v>2023002200146</v>
          </cell>
          <cell r="BP2529">
            <v>90</v>
          </cell>
        </row>
        <row r="2530">
          <cell r="B2530">
            <v>2025205700002</v>
          </cell>
          <cell r="BP2530">
            <v>100</v>
          </cell>
        </row>
        <row r="2531">
          <cell r="B2531">
            <v>2023002200044</v>
          </cell>
          <cell r="BP2531">
            <v>79.2</v>
          </cell>
        </row>
        <row r="2532">
          <cell r="B2532">
            <v>2025002200027</v>
          </cell>
          <cell r="BP2532">
            <v>0</v>
          </cell>
        </row>
        <row r="2533">
          <cell r="B2533">
            <v>2024207870002</v>
          </cell>
          <cell r="BP2533">
            <v>50</v>
          </cell>
        </row>
        <row r="2534">
          <cell r="B2534">
            <v>2024002200119</v>
          </cell>
          <cell r="BP2534">
            <v>100</v>
          </cell>
        </row>
        <row r="2535">
          <cell r="B2535">
            <v>2025002200026</v>
          </cell>
          <cell r="BP2535">
            <v>100</v>
          </cell>
        </row>
        <row r="2536">
          <cell r="B2536">
            <v>2025203830001</v>
          </cell>
          <cell r="BP2536">
            <v>100</v>
          </cell>
        </row>
        <row r="2537">
          <cell r="B2537">
            <v>2020000100072</v>
          </cell>
          <cell r="BP2537">
            <v>0</v>
          </cell>
        </row>
        <row r="2538">
          <cell r="B2538">
            <v>2021000100024</v>
          </cell>
          <cell r="BP2538">
            <v>100</v>
          </cell>
        </row>
        <row r="2539">
          <cell r="B2539">
            <v>2019000100010</v>
          </cell>
          <cell r="BP2539">
            <v>66</v>
          </cell>
        </row>
        <row r="2540">
          <cell r="B2540">
            <v>2020000100392</v>
          </cell>
          <cell r="BP2540">
            <v>80.8</v>
          </cell>
        </row>
        <row r="2541">
          <cell r="B2541">
            <v>2021000100130</v>
          </cell>
          <cell r="BP2541">
            <v>96.4</v>
          </cell>
        </row>
        <row r="2542">
          <cell r="B2542">
            <v>2021000100363</v>
          </cell>
          <cell r="BP2542">
            <v>50</v>
          </cell>
        </row>
        <row r="2543">
          <cell r="B2543">
            <v>2024201750071</v>
          </cell>
          <cell r="BP2543">
            <v>50</v>
          </cell>
        </row>
        <row r="2544">
          <cell r="B2544">
            <v>2025201780008</v>
          </cell>
          <cell r="BP2544">
            <v>100</v>
          </cell>
        </row>
        <row r="2545">
          <cell r="B2545">
            <v>2026201780001</v>
          </cell>
          <cell r="BP2545">
            <v>100</v>
          </cell>
        </row>
        <row r="2546">
          <cell r="B2546">
            <v>2021201780050</v>
          </cell>
          <cell r="BP2546">
            <v>100</v>
          </cell>
        </row>
        <row r="2547">
          <cell r="B2547">
            <v>20223219000001</v>
          </cell>
          <cell r="BP2547">
            <v>100</v>
          </cell>
        </row>
        <row r="2548">
          <cell r="B2548">
            <v>20223219000002</v>
          </cell>
          <cell r="BP2548">
            <v>100</v>
          </cell>
        </row>
        <row r="2549">
          <cell r="B2549">
            <v>20223219000004</v>
          </cell>
          <cell r="BP2549">
            <v>50</v>
          </cell>
        </row>
        <row r="2550">
          <cell r="B2550">
            <v>20233219000006</v>
          </cell>
          <cell r="BP2550">
            <v>50</v>
          </cell>
        </row>
        <row r="2551">
          <cell r="B2551">
            <v>20233219000011</v>
          </cell>
          <cell r="BP2551">
            <v>100</v>
          </cell>
        </row>
        <row r="2552">
          <cell r="B2552">
            <v>20243219000002</v>
          </cell>
          <cell r="BP2552">
            <v>100</v>
          </cell>
        </row>
        <row r="2553">
          <cell r="B2553">
            <v>20243219000005</v>
          </cell>
          <cell r="BP2553">
            <v>100</v>
          </cell>
        </row>
        <row r="2554">
          <cell r="B2554">
            <v>20243219000006</v>
          </cell>
          <cell r="BP2554">
            <v>100</v>
          </cell>
        </row>
        <row r="2555">
          <cell r="B2555">
            <v>20243219000010</v>
          </cell>
          <cell r="BP2555">
            <v>100</v>
          </cell>
        </row>
        <row r="2556">
          <cell r="B2556">
            <v>20253219000001</v>
          </cell>
          <cell r="BP2556">
            <v>100</v>
          </cell>
        </row>
        <row r="2557">
          <cell r="B2557">
            <v>20253219000002</v>
          </cell>
          <cell r="BP2557">
            <v>100</v>
          </cell>
        </row>
        <row r="2558">
          <cell r="B2558">
            <v>20253219000004</v>
          </cell>
          <cell r="BP2558">
            <v>92.8</v>
          </cell>
        </row>
        <row r="2559">
          <cell r="B2559">
            <v>20253219000005</v>
          </cell>
          <cell r="BP2559">
            <v>88.4</v>
          </cell>
        </row>
        <row r="2560">
          <cell r="B2560">
            <v>20253219000006</v>
          </cell>
          <cell r="BP2560">
            <v>60</v>
          </cell>
        </row>
        <row r="2561">
          <cell r="B2561">
            <v>20253219000008</v>
          </cell>
          <cell r="BP2561">
            <v>95.6</v>
          </cell>
        </row>
        <row r="2562">
          <cell r="B2562">
            <v>20253219000009</v>
          </cell>
          <cell r="BP2562">
            <v>60</v>
          </cell>
        </row>
        <row r="2563">
          <cell r="B2563">
            <v>20253219000010</v>
          </cell>
          <cell r="BP2563">
            <v>60</v>
          </cell>
        </row>
        <row r="2564">
          <cell r="B2564">
            <v>20253219000011</v>
          </cell>
          <cell r="BP2564">
            <v>0</v>
          </cell>
        </row>
        <row r="2565">
          <cell r="B2565">
            <v>20253219000012</v>
          </cell>
          <cell r="BP2565">
            <v>73.2</v>
          </cell>
        </row>
        <row r="2566">
          <cell r="B2566">
            <v>20233219000009</v>
          </cell>
          <cell r="BP2566">
            <v>45.6</v>
          </cell>
        </row>
        <row r="2567">
          <cell r="B2567">
            <v>2025202280003</v>
          </cell>
          <cell r="BP2567">
            <v>75.2</v>
          </cell>
        </row>
        <row r="2568">
          <cell r="B2568">
            <v>2025202280004</v>
          </cell>
          <cell r="BP2568">
            <v>50</v>
          </cell>
        </row>
        <row r="2569">
          <cell r="B2569">
            <v>2025202380001</v>
          </cell>
          <cell r="BP2569">
            <v>58</v>
          </cell>
        </row>
        <row r="2570">
          <cell r="B2570">
            <v>2025202500014</v>
          </cell>
          <cell r="BP2570">
            <v>0</v>
          </cell>
        </row>
        <row r="2571">
          <cell r="B2571">
            <v>2024202500009</v>
          </cell>
          <cell r="BP2571">
            <v>100</v>
          </cell>
        </row>
        <row r="2572">
          <cell r="B2572">
            <v>2024202500010</v>
          </cell>
          <cell r="BP2572">
            <v>100</v>
          </cell>
        </row>
        <row r="2573">
          <cell r="B2573">
            <v>2024202500021</v>
          </cell>
          <cell r="BP2573">
            <v>50</v>
          </cell>
        </row>
        <row r="2574">
          <cell r="B2574" t="str">
            <v>2025N007610002</v>
          </cell>
          <cell r="BP2574">
            <v>50</v>
          </cell>
        </row>
        <row r="2575">
          <cell r="B2575">
            <v>2025202500005</v>
          </cell>
          <cell r="BP2575">
            <v>100</v>
          </cell>
        </row>
        <row r="2576">
          <cell r="B2576">
            <v>2025202500006</v>
          </cell>
          <cell r="BP2576">
            <v>100</v>
          </cell>
        </row>
        <row r="2577">
          <cell r="B2577">
            <v>2025202500007</v>
          </cell>
          <cell r="BP2577">
            <v>34</v>
          </cell>
        </row>
        <row r="2578">
          <cell r="B2578">
            <v>2025202500011</v>
          </cell>
          <cell r="BP2578">
            <v>100</v>
          </cell>
        </row>
        <row r="2579">
          <cell r="B2579">
            <v>2025202500013</v>
          </cell>
          <cell r="BP2579">
            <v>100</v>
          </cell>
        </row>
        <row r="2580">
          <cell r="B2580">
            <v>2025202500017</v>
          </cell>
          <cell r="BP2580">
            <v>50</v>
          </cell>
        </row>
        <row r="2581">
          <cell r="B2581">
            <v>2019202500002</v>
          </cell>
          <cell r="BP2581">
            <v>36.799999999999997</v>
          </cell>
        </row>
        <row r="2582">
          <cell r="B2582">
            <v>2025202500001</v>
          </cell>
          <cell r="BP2582">
            <v>50</v>
          </cell>
        </row>
        <row r="2583">
          <cell r="B2583">
            <v>2025202500010</v>
          </cell>
          <cell r="BP2583">
            <v>50</v>
          </cell>
        </row>
        <row r="2584">
          <cell r="B2584">
            <v>2025202950003</v>
          </cell>
          <cell r="BP2584">
            <v>100</v>
          </cell>
        </row>
        <row r="2585">
          <cell r="B2585">
            <v>2025202950001</v>
          </cell>
          <cell r="BP2585">
            <v>100</v>
          </cell>
        </row>
        <row r="2586">
          <cell r="B2586">
            <v>2025203100001</v>
          </cell>
          <cell r="BP2586">
            <v>30</v>
          </cell>
        </row>
        <row r="2587">
          <cell r="B2587">
            <v>2020203830001</v>
          </cell>
          <cell r="BP2587">
            <v>60</v>
          </cell>
        </row>
        <row r="2588">
          <cell r="B2588">
            <v>2025203830002</v>
          </cell>
          <cell r="BP2588">
            <v>0</v>
          </cell>
        </row>
        <row r="2589">
          <cell r="B2589">
            <v>2025204000015</v>
          </cell>
          <cell r="BP2589">
            <v>50</v>
          </cell>
        </row>
        <row r="2590">
          <cell r="B2590">
            <v>2025204000017</v>
          </cell>
          <cell r="BP2590">
            <v>100</v>
          </cell>
        </row>
        <row r="2591">
          <cell r="B2591">
            <v>2024204000054</v>
          </cell>
          <cell r="BP2591">
            <v>50</v>
          </cell>
        </row>
        <row r="2592">
          <cell r="B2592">
            <v>2025204000003</v>
          </cell>
          <cell r="BP2592">
            <v>89</v>
          </cell>
        </row>
        <row r="2593">
          <cell r="B2593">
            <v>2025204000005</v>
          </cell>
          <cell r="BP2593">
            <v>100</v>
          </cell>
        </row>
        <row r="2594">
          <cell r="B2594">
            <v>2025204000006</v>
          </cell>
          <cell r="BP2594">
            <v>100</v>
          </cell>
        </row>
        <row r="2595">
          <cell r="B2595">
            <v>2025204000011</v>
          </cell>
          <cell r="BP2595">
            <v>87.6</v>
          </cell>
        </row>
        <row r="2596">
          <cell r="B2596">
            <v>2025204000013</v>
          </cell>
          <cell r="BP2596">
            <v>100</v>
          </cell>
        </row>
        <row r="2597">
          <cell r="B2597">
            <v>2025204000014</v>
          </cell>
          <cell r="BP2597">
            <v>100</v>
          </cell>
        </row>
        <row r="2598">
          <cell r="B2598">
            <v>2026204000001</v>
          </cell>
          <cell r="BP2598">
            <v>100</v>
          </cell>
        </row>
        <row r="2599">
          <cell r="B2599">
            <v>20201301010378</v>
          </cell>
          <cell r="BP2599">
            <v>28.5</v>
          </cell>
        </row>
        <row r="2600">
          <cell r="B2600">
            <v>20201301011474</v>
          </cell>
          <cell r="BP2600">
            <v>90</v>
          </cell>
        </row>
        <row r="2601">
          <cell r="B2601">
            <v>2021204000020</v>
          </cell>
          <cell r="BP2601">
            <v>32.4</v>
          </cell>
        </row>
        <row r="2602">
          <cell r="B2602">
            <v>20241301010346</v>
          </cell>
          <cell r="BP2602">
            <v>100</v>
          </cell>
        </row>
        <row r="2603">
          <cell r="B2603">
            <v>2024204000072</v>
          </cell>
          <cell r="BP2603">
            <v>50</v>
          </cell>
        </row>
        <row r="2604">
          <cell r="B2604">
            <v>20201301011501</v>
          </cell>
          <cell r="BP2604">
            <v>60</v>
          </cell>
        </row>
        <row r="2605">
          <cell r="B2605">
            <v>20241301010163</v>
          </cell>
          <cell r="BP2605">
            <v>78.8</v>
          </cell>
        </row>
        <row r="2606">
          <cell r="B2606">
            <v>2025206210001</v>
          </cell>
          <cell r="BP2606">
            <v>96</v>
          </cell>
        </row>
        <row r="2607">
          <cell r="B2607">
            <v>2025206210002</v>
          </cell>
          <cell r="BP2607">
            <v>100</v>
          </cell>
        </row>
        <row r="2608">
          <cell r="B2608">
            <v>20241301010297</v>
          </cell>
          <cell r="BP2608">
            <v>87.6</v>
          </cell>
        </row>
        <row r="2609">
          <cell r="B2609">
            <v>20201301012261</v>
          </cell>
          <cell r="BP2609">
            <v>0</v>
          </cell>
        </row>
        <row r="2610">
          <cell r="B2610">
            <v>20241301010145</v>
          </cell>
          <cell r="BP2610">
            <v>60</v>
          </cell>
        </row>
        <row r="2611">
          <cell r="B2611">
            <v>2022204430014</v>
          </cell>
          <cell r="BP2611">
            <v>39.799999999999997</v>
          </cell>
        </row>
        <row r="2612">
          <cell r="B2612">
            <v>2025204430002</v>
          </cell>
          <cell r="BP2612">
            <v>40</v>
          </cell>
        </row>
        <row r="2613">
          <cell r="B2613">
            <v>2017205170001</v>
          </cell>
          <cell r="BP2613">
            <v>0</v>
          </cell>
        </row>
        <row r="2614">
          <cell r="B2614">
            <v>2024205500016</v>
          </cell>
          <cell r="BP2614">
            <v>98.4</v>
          </cell>
        </row>
        <row r="2615">
          <cell r="B2615">
            <v>20241301010107</v>
          </cell>
          <cell r="BP2615">
            <v>100</v>
          </cell>
        </row>
        <row r="2616">
          <cell r="B2616">
            <v>2025205700001</v>
          </cell>
          <cell r="BP2616">
            <v>99.2</v>
          </cell>
        </row>
        <row r="2617">
          <cell r="B2617" t="str">
            <v>2024I00010069</v>
          </cell>
          <cell r="BP2617">
            <v>100</v>
          </cell>
        </row>
        <row r="2618">
          <cell r="B2618" t="str">
            <v>2023I00010048</v>
          </cell>
          <cell r="BP2618">
            <v>100</v>
          </cell>
        </row>
        <row r="2619">
          <cell r="B2619" t="str">
            <v>2024I00010131</v>
          </cell>
          <cell r="BP2619">
            <v>60</v>
          </cell>
        </row>
        <row r="2620">
          <cell r="B2620">
            <v>2026206140001</v>
          </cell>
          <cell r="BP2620">
            <v>89</v>
          </cell>
        </row>
        <row r="2621">
          <cell r="B2621">
            <v>2025207100001</v>
          </cell>
          <cell r="BP2621">
            <v>100</v>
          </cell>
        </row>
        <row r="2622">
          <cell r="B2622">
            <v>2025207100003</v>
          </cell>
          <cell r="BP2622">
            <v>28</v>
          </cell>
        </row>
        <row r="2623">
          <cell r="B2623">
            <v>2025207100002</v>
          </cell>
          <cell r="BP2623">
            <v>100</v>
          </cell>
        </row>
        <row r="2624">
          <cell r="B2624">
            <v>2026207500002</v>
          </cell>
          <cell r="BP2624">
            <v>100</v>
          </cell>
        </row>
        <row r="2625">
          <cell r="B2625">
            <v>20211301012101</v>
          </cell>
          <cell r="BP2625">
            <v>100</v>
          </cell>
        </row>
        <row r="2626">
          <cell r="B2626">
            <v>20221301010100</v>
          </cell>
          <cell r="BP2626">
            <v>100</v>
          </cell>
        </row>
        <row r="2627">
          <cell r="B2627">
            <v>2025207500001</v>
          </cell>
          <cell r="BP2627">
            <v>96</v>
          </cell>
        </row>
        <row r="2628">
          <cell r="B2628">
            <v>2026207500001</v>
          </cell>
          <cell r="BP2628">
            <v>100</v>
          </cell>
        </row>
        <row r="2629">
          <cell r="B2629">
            <v>20211301011707</v>
          </cell>
          <cell r="BP2629">
            <v>65</v>
          </cell>
        </row>
        <row r="2630">
          <cell r="B2630">
            <v>2025207500006</v>
          </cell>
          <cell r="BP2630">
            <v>50</v>
          </cell>
        </row>
        <row r="2631">
          <cell r="B2631" t="str">
            <v>2025N010520001</v>
          </cell>
          <cell r="BP2631">
            <v>60</v>
          </cell>
        </row>
        <row r="2632">
          <cell r="B2632">
            <v>2025207700008</v>
          </cell>
          <cell r="BP2632">
            <v>60</v>
          </cell>
        </row>
        <row r="2633">
          <cell r="B2633">
            <v>2026207700004</v>
          </cell>
          <cell r="BP2633">
            <v>100</v>
          </cell>
        </row>
        <row r="2634">
          <cell r="B2634">
            <v>2025207700003</v>
          </cell>
          <cell r="BP2634">
            <v>0</v>
          </cell>
        </row>
        <row r="2635">
          <cell r="B2635">
            <v>2025207700010</v>
          </cell>
          <cell r="BP2635">
            <v>0</v>
          </cell>
        </row>
        <row r="2636">
          <cell r="B2636">
            <v>2025207700005</v>
          </cell>
          <cell r="BP2636">
            <v>100</v>
          </cell>
        </row>
        <row r="2637">
          <cell r="B2637">
            <v>2025207700011</v>
          </cell>
          <cell r="BP2637">
            <v>100</v>
          </cell>
        </row>
        <row r="2638">
          <cell r="B2638">
            <v>2025207870001</v>
          </cell>
          <cell r="BP2638">
            <v>30</v>
          </cell>
        </row>
        <row r="2639">
          <cell r="B2639">
            <v>2025200010002</v>
          </cell>
          <cell r="BP2639">
            <v>100</v>
          </cell>
        </row>
        <row r="2640">
          <cell r="B2640">
            <v>2025200010004</v>
          </cell>
          <cell r="BP2640">
            <v>51.6</v>
          </cell>
        </row>
        <row r="2641">
          <cell r="B2641">
            <v>20211301011044</v>
          </cell>
          <cell r="BP2641">
            <v>14.5</v>
          </cell>
        </row>
        <row r="2642">
          <cell r="B2642">
            <v>20211301010410</v>
          </cell>
          <cell r="BP2642">
            <v>100</v>
          </cell>
        </row>
        <row r="2643">
          <cell r="B2643">
            <v>2025200010001</v>
          </cell>
          <cell r="BP2643">
            <v>100</v>
          </cell>
        </row>
        <row r="2644">
          <cell r="B2644">
            <v>2025270060001</v>
          </cell>
          <cell r="BP2644">
            <v>40</v>
          </cell>
        </row>
        <row r="2645">
          <cell r="B2645" t="str">
            <v>2024I00010006</v>
          </cell>
          <cell r="BP2645">
            <v>89</v>
          </cell>
        </row>
        <row r="2646">
          <cell r="B2646">
            <v>2024270500161</v>
          </cell>
          <cell r="BP2646">
            <v>85.6</v>
          </cell>
        </row>
        <row r="2647">
          <cell r="B2647">
            <v>2024270500162</v>
          </cell>
          <cell r="BP2647">
            <v>50</v>
          </cell>
        </row>
        <row r="2648">
          <cell r="B2648">
            <v>2025270500001</v>
          </cell>
          <cell r="BP2648">
            <v>100</v>
          </cell>
        </row>
        <row r="2649">
          <cell r="B2649">
            <v>2024270750110</v>
          </cell>
          <cell r="BP2649">
            <v>53.4</v>
          </cell>
        </row>
        <row r="2650">
          <cell r="B2650">
            <v>2025270750002</v>
          </cell>
          <cell r="BP2650">
            <v>44.5</v>
          </cell>
        </row>
        <row r="2651">
          <cell r="B2651">
            <v>2024270770010</v>
          </cell>
          <cell r="BP2651">
            <v>80.099999999999994</v>
          </cell>
        </row>
        <row r="2652">
          <cell r="B2652">
            <v>2021270770053</v>
          </cell>
          <cell r="BP2652">
            <v>3</v>
          </cell>
        </row>
        <row r="2653">
          <cell r="B2653">
            <v>20251301010321</v>
          </cell>
          <cell r="BP2653">
            <v>60</v>
          </cell>
        </row>
        <row r="2654">
          <cell r="B2654">
            <v>2025270990004</v>
          </cell>
          <cell r="BP2654">
            <v>0</v>
          </cell>
        </row>
        <row r="2655">
          <cell r="B2655">
            <v>2026270990004</v>
          </cell>
          <cell r="BP2655">
            <v>0</v>
          </cell>
        </row>
        <row r="2656">
          <cell r="B2656">
            <v>2024270990001</v>
          </cell>
          <cell r="BP2656">
            <v>0</v>
          </cell>
        </row>
        <row r="2657">
          <cell r="B2657">
            <v>2024270990022</v>
          </cell>
          <cell r="BP2657">
            <v>0</v>
          </cell>
        </row>
        <row r="2658">
          <cell r="B2658">
            <v>2025270990001</v>
          </cell>
          <cell r="BP2658">
            <v>0</v>
          </cell>
        </row>
        <row r="2659">
          <cell r="B2659">
            <v>2025270990003</v>
          </cell>
          <cell r="BP2659">
            <v>0</v>
          </cell>
        </row>
        <row r="2660">
          <cell r="B2660">
            <v>20221301010187</v>
          </cell>
          <cell r="BP2660">
            <v>0</v>
          </cell>
        </row>
        <row r="2661">
          <cell r="B2661">
            <v>2024271350024</v>
          </cell>
          <cell r="BP2661">
            <v>30</v>
          </cell>
        </row>
        <row r="2662">
          <cell r="B2662">
            <v>2025271350005</v>
          </cell>
          <cell r="BP2662">
            <v>40</v>
          </cell>
        </row>
        <row r="2663">
          <cell r="B2663">
            <v>2025271350003</v>
          </cell>
          <cell r="BP2663">
            <v>40</v>
          </cell>
        </row>
        <row r="2664">
          <cell r="B2664">
            <v>2025271350004</v>
          </cell>
          <cell r="BP2664">
            <v>89</v>
          </cell>
        </row>
        <row r="2665">
          <cell r="B2665">
            <v>2025271500010</v>
          </cell>
          <cell r="BP2665">
            <v>60</v>
          </cell>
        </row>
        <row r="2666">
          <cell r="B2666">
            <v>2025271500011</v>
          </cell>
          <cell r="BP2666">
            <v>100</v>
          </cell>
        </row>
        <row r="2667">
          <cell r="B2667">
            <v>2025271500003</v>
          </cell>
          <cell r="BP2667">
            <v>89</v>
          </cell>
        </row>
        <row r="2668">
          <cell r="B2668">
            <v>2025271500008</v>
          </cell>
          <cell r="BP2668">
            <v>89</v>
          </cell>
        </row>
        <row r="2669">
          <cell r="B2669">
            <v>2025271500009</v>
          </cell>
          <cell r="BP2669">
            <v>85.4</v>
          </cell>
        </row>
        <row r="2670">
          <cell r="B2670">
            <v>20241301010020</v>
          </cell>
          <cell r="BP2670">
            <v>0</v>
          </cell>
        </row>
        <row r="2671">
          <cell r="B2671">
            <v>2025271500007</v>
          </cell>
          <cell r="BP2671">
            <v>0</v>
          </cell>
        </row>
        <row r="2672">
          <cell r="B2672">
            <v>2024271600005</v>
          </cell>
          <cell r="BP2672">
            <v>30.4</v>
          </cell>
        </row>
        <row r="2673">
          <cell r="B2673">
            <v>2025271600002</v>
          </cell>
          <cell r="BP2673">
            <v>85.1</v>
          </cell>
        </row>
        <row r="2674">
          <cell r="B2674">
            <v>2025271600003</v>
          </cell>
          <cell r="BP2674">
            <v>90</v>
          </cell>
        </row>
        <row r="2675">
          <cell r="B2675">
            <v>2025271600004</v>
          </cell>
          <cell r="BP2675">
            <v>100</v>
          </cell>
        </row>
        <row r="2676">
          <cell r="B2676">
            <v>2022003270003</v>
          </cell>
          <cell r="BP2676">
            <v>100</v>
          </cell>
        </row>
        <row r="2677">
          <cell r="B2677">
            <v>2022003270012</v>
          </cell>
          <cell r="BP2677">
            <v>90</v>
          </cell>
        </row>
        <row r="2678">
          <cell r="B2678">
            <v>2022003270027</v>
          </cell>
          <cell r="BP2678">
            <v>100</v>
          </cell>
        </row>
        <row r="2679">
          <cell r="B2679">
            <v>20221301010294</v>
          </cell>
          <cell r="BP2679">
            <v>100</v>
          </cell>
        </row>
        <row r="2680">
          <cell r="B2680">
            <v>2022270010010</v>
          </cell>
          <cell r="BP2680">
            <v>100</v>
          </cell>
        </row>
        <row r="2681">
          <cell r="B2681">
            <v>2023000030005</v>
          </cell>
          <cell r="BP2681">
            <v>60</v>
          </cell>
        </row>
        <row r="2682">
          <cell r="B2682">
            <v>2023003270025</v>
          </cell>
          <cell r="BP2682">
            <v>90</v>
          </cell>
        </row>
        <row r="2683">
          <cell r="B2683">
            <v>2024003270113</v>
          </cell>
          <cell r="BP2683">
            <v>60</v>
          </cell>
        </row>
        <row r="2684">
          <cell r="B2684">
            <v>2012000100168</v>
          </cell>
          <cell r="BP2684">
            <v>37</v>
          </cell>
        </row>
        <row r="2685">
          <cell r="B2685">
            <v>2013000030001</v>
          </cell>
          <cell r="BP2685">
            <v>25</v>
          </cell>
        </row>
        <row r="2686">
          <cell r="B2686">
            <v>2017000030034</v>
          </cell>
          <cell r="BP2686">
            <v>100</v>
          </cell>
        </row>
        <row r="2687">
          <cell r="B2687">
            <v>20221301010210</v>
          </cell>
          <cell r="BP2687">
            <v>20.5</v>
          </cell>
        </row>
        <row r="2688">
          <cell r="B2688">
            <v>2023000030020</v>
          </cell>
          <cell r="BP2688">
            <v>0</v>
          </cell>
        </row>
        <row r="2689">
          <cell r="B2689">
            <v>2023003270041</v>
          </cell>
          <cell r="BP2689">
            <v>93.2</v>
          </cell>
        </row>
        <row r="2690">
          <cell r="B2690">
            <v>2025003270008</v>
          </cell>
          <cell r="BP2690">
            <v>43.4</v>
          </cell>
        </row>
        <row r="2691">
          <cell r="B2691">
            <v>2024003270108</v>
          </cell>
          <cell r="BP2691">
            <v>82.4</v>
          </cell>
        </row>
        <row r="2692">
          <cell r="B2692">
            <v>2024003270118</v>
          </cell>
          <cell r="BP2692">
            <v>100</v>
          </cell>
        </row>
        <row r="2693">
          <cell r="B2693">
            <v>2021003270155</v>
          </cell>
          <cell r="BP2693">
            <v>11</v>
          </cell>
        </row>
        <row r="2694">
          <cell r="B2694">
            <v>2021000030042</v>
          </cell>
          <cell r="BP2694">
            <v>89</v>
          </cell>
        </row>
        <row r="2695">
          <cell r="B2695">
            <v>2022003270013</v>
          </cell>
          <cell r="BP2695">
            <v>6.2</v>
          </cell>
        </row>
        <row r="2696">
          <cell r="B2696">
            <v>2024003270006</v>
          </cell>
          <cell r="BP2696">
            <v>89</v>
          </cell>
        </row>
        <row r="2697">
          <cell r="B2697">
            <v>2024003270007</v>
          </cell>
          <cell r="BP2697">
            <v>89</v>
          </cell>
        </row>
        <row r="2698">
          <cell r="B2698">
            <v>2024003270080</v>
          </cell>
          <cell r="BP2698">
            <v>89</v>
          </cell>
        </row>
        <row r="2699">
          <cell r="B2699">
            <v>2024003270111</v>
          </cell>
          <cell r="BP2699">
            <v>89</v>
          </cell>
        </row>
        <row r="2700">
          <cell r="B2700">
            <v>2024003270115</v>
          </cell>
          <cell r="BP2700">
            <v>89</v>
          </cell>
        </row>
        <row r="2701">
          <cell r="B2701">
            <v>2024003270011</v>
          </cell>
          <cell r="BP2701">
            <v>100</v>
          </cell>
        </row>
        <row r="2702">
          <cell r="B2702">
            <v>2024003270024</v>
          </cell>
          <cell r="BP2702">
            <v>85.4</v>
          </cell>
        </row>
        <row r="2703">
          <cell r="B2703">
            <v>2024003270112</v>
          </cell>
          <cell r="BP2703">
            <v>89</v>
          </cell>
        </row>
        <row r="2704">
          <cell r="B2704">
            <v>2024003270116</v>
          </cell>
          <cell r="BP2704">
            <v>35.6</v>
          </cell>
        </row>
        <row r="2705">
          <cell r="B2705">
            <v>2024003270119</v>
          </cell>
          <cell r="BP2705">
            <v>0</v>
          </cell>
        </row>
        <row r="2706">
          <cell r="B2706">
            <v>2024273610064</v>
          </cell>
          <cell r="BP2706">
            <v>0</v>
          </cell>
        </row>
        <row r="2707">
          <cell r="B2707">
            <v>2025000030052</v>
          </cell>
          <cell r="BP2707">
            <v>35.6</v>
          </cell>
        </row>
        <row r="2708">
          <cell r="B2708">
            <v>2025003270002</v>
          </cell>
          <cell r="BP2708">
            <v>80.5</v>
          </cell>
        </row>
        <row r="2709">
          <cell r="B2709">
            <v>2025003270024</v>
          </cell>
          <cell r="BP2709">
            <v>89</v>
          </cell>
        </row>
        <row r="2710">
          <cell r="B2710">
            <v>2025003270037</v>
          </cell>
          <cell r="BP2710">
            <v>85.4</v>
          </cell>
        </row>
        <row r="2711">
          <cell r="B2711">
            <v>2025003270043</v>
          </cell>
          <cell r="BP2711">
            <v>53.4</v>
          </cell>
        </row>
        <row r="2712">
          <cell r="B2712">
            <v>2025003270048</v>
          </cell>
          <cell r="BP2712">
            <v>35.6</v>
          </cell>
        </row>
        <row r="2713">
          <cell r="B2713">
            <v>2025003270051</v>
          </cell>
          <cell r="BP2713">
            <v>35.6</v>
          </cell>
        </row>
        <row r="2714">
          <cell r="B2714">
            <v>2020000100518</v>
          </cell>
          <cell r="BP2714">
            <v>100</v>
          </cell>
        </row>
        <row r="2715">
          <cell r="B2715">
            <v>2024000100094</v>
          </cell>
          <cell r="BP2715">
            <v>100</v>
          </cell>
        </row>
        <row r="2716">
          <cell r="B2716">
            <v>2017000030043</v>
          </cell>
          <cell r="BP2716">
            <v>19.5</v>
          </cell>
        </row>
        <row r="2717">
          <cell r="B2717">
            <v>2019000030050</v>
          </cell>
          <cell r="BP2717">
            <v>100</v>
          </cell>
        </row>
        <row r="2718">
          <cell r="B2718">
            <v>2017000030075</v>
          </cell>
          <cell r="BP2718">
            <v>49</v>
          </cell>
        </row>
        <row r="2719">
          <cell r="B2719">
            <v>2017000030198</v>
          </cell>
          <cell r="BP2719">
            <v>2</v>
          </cell>
        </row>
        <row r="2720">
          <cell r="B2720">
            <v>2021000030058</v>
          </cell>
          <cell r="BP2720">
            <v>100</v>
          </cell>
        </row>
        <row r="2721">
          <cell r="B2721">
            <v>2023000100047</v>
          </cell>
          <cell r="BP2721">
            <v>100</v>
          </cell>
        </row>
        <row r="2722">
          <cell r="B2722">
            <v>2019000100039</v>
          </cell>
          <cell r="BP2722">
            <v>16</v>
          </cell>
        </row>
        <row r="2723">
          <cell r="B2723">
            <v>2019000100050</v>
          </cell>
          <cell r="BP2723">
            <v>33</v>
          </cell>
        </row>
        <row r="2724">
          <cell r="B2724">
            <v>2020000100591</v>
          </cell>
          <cell r="BP2724">
            <v>100</v>
          </cell>
        </row>
        <row r="2725">
          <cell r="B2725">
            <v>2020000100781</v>
          </cell>
          <cell r="BP2725">
            <v>58</v>
          </cell>
        </row>
        <row r="2726">
          <cell r="B2726">
            <v>2013000100284</v>
          </cell>
          <cell r="BP2726">
            <v>28.5</v>
          </cell>
        </row>
        <row r="2727">
          <cell r="B2727">
            <v>2013000100285</v>
          </cell>
          <cell r="BP2727">
            <v>6.5</v>
          </cell>
        </row>
        <row r="2728">
          <cell r="B2728">
            <v>2014000100035</v>
          </cell>
          <cell r="BP2728">
            <v>24</v>
          </cell>
        </row>
        <row r="2729">
          <cell r="B2729">
            <v>2017000100032</v>
          </cell>
          <cell r="BP2729">
            <v>5.5</v>
          </cell>
        </row>
        <row r="2730">
          <cell r="B2730">
            <v>2018000100052</v>
          </cell>
          <cell r="BP2730">
            <v>98</v>
          </cell>
        </row>
        <row r="2731">
          <cell r="B2731">
            <v>2018000100056</v>
          </cell>
          <cell r="BP2731">
            <v>100</v>
          </cell>
        </row>
        <row r="2732">
          <cell r="B2732">
            <v>2020000100173</v>
          </cell>
          <cell r="BP2732">
            <v>0</v>
          </cell>
        </row>
        <row r="2733">
          <cell r="B2733">
            <v>2020000100330</v>
          </cell>
          <cell r="BP2733">
            <v>100</v>
          </cell>
        </row>
        <row r="2734">
          <cell r="B2734">
            <v>2020000100450</v>
          </cell>
          <cell r="BP2734">
            <v>61</v>
          </cell>
        </row>
        <row r="2735">
          <cell r="B2735">
            <v>2020000100679</v>
          </cell>
          <cell r="BP2735">
            <v>10</v>
          </cell>
        </row>
        <row r="2736">
          <cell r="B2736">
            <v>2021000100135</v>
          </cell>
          <cell r="BP2736">
            <v>13</v>
          </cell>
        </row>
        <row r="2737">
          <cell r="B2737">
            <v>2021000100141</v>
          </cell>
          <cell r="BP2737">
            <v>42.2</v>
          </cell>
        </row>
        <row r="2738">
          <cell r="B2738">
            <v>2021000100143</v>
          </cell>
          <cell r="BP2738">
            <v>31.5</v>
          </cell>
        </row>
        <row r="2739">
          <cell r="B2739">
            <v>2021000100454</v>
          </cell>
          <cell r="BP2739">
            <v>100</v>
          </cell>
        </row>
        <row r="2740">
          <cell r="B2740">
            <v>2021000100474</v>
          </cell>
          <cell r="BP2740">
            <v>28.5</v>
          </cell>
        </row>
        <row r="2741">
          <cell r="B2741">
            <v>2024272050098</v>
          </cell>
          <cell r="BP2741">
            <v>10</v>
          </cell>
        </row>
        <row r="2742">
          <cell r="B2742">
            <v>2025272050002</v>
          </cell>
          <cell r="BP2742">
            <v>45</v>
          </cell>
        </row>
        <row r="2743">
          <cell r="B2743">
            <v>2025272050004</v>
          </cell>
          <cell r="BP2743">
            <v>61.2</v>
          </cell>
        </row>
        <row r="2744">
          <cell r="B2744">
            <v>2025272450002</v>
          </cell>
          <cell r="BP2744">
            <v>0</v>
          </cell>
        </row>
        <row r="2745">
          <cell r="B2745">
            <v>2022272450057</v>
          </cell>
          <cell r="BP2745">
            <v>9</v>
          </cell>
        </row>
        <row r="2746">
          <cell r="B2746">
            <v>2022272450059</v>
          </cell>
          <cell r="BP2746">
            <v>17.5</v>
          </cell>
        </row>
        <row r="2747">
          <cell r="B2747">
            <v>2024272500031</v>
          </cell>
          <cell r="BP2747">
            <v>89</v>
          </cell>
        </row>
        <row r="2748">
          <cell r="B2748">
            <v>20211301010371</v>
          </cell>
          <cell r="BP2748">
            <v>74</v>
          </cell>
        </row>
        <row r="2749">
          <cell r="B2749">
            <v>20241301010263</v>
          </cell>
          <cell r="BP2749">
            <v>43</v>
          </cell>
        </row>
        <row r="2750">
          <cell r="B2750">
            <v>2025273610005</v>
          </cell>
          <cell r="BP2750">
            <v>100</v>
          </cell>
        </row>
        <row r="2751">
          <cell r="B2751">
            <v>2025273720001</v>
          </cell>
          <cell r="BP2751">
            <v>40</v>
          </cell>
        </row>
        <row r="2752">
          <cell r="B2752">
            <v>2025274130007</v>
          </cell>
          <cell r="BP2752">
            <v>100</v>
          </cell>
        </row>
        <row r="2753">
          <cell r="B2753">
            <v>20251301010194</v>
          </cell>
          <cell r="BP2753">
            <v>100</v>
          </cell>
        </row>
        <row r="2754">
          <cell r="B2754">
            <v>2025274250005</v>
          </cell>
          <cell r="BP2754">
            <v>72.400000000000006</v>
          </cell>
        </row>
        <row r="2755">
          <cell r="B2755">
            <v>2025274250006</v>
          </cell>
          <cell r="BP2755">
            <v>100</v>
          </cell>
        </row>
        <row r="2756">
          <cell r="B2756">
            <v>20241301010013</v>
          </cell>
          <cell r="BP2756">
            <v>30.5</v>
          </cell>
        </row>
        <row r="2757">
          <cell r="B2757">
            <v>20241301010140</v>
          </cell>
          <cell r="BP2757">
            <v>100</v>
          </cell>
        </row>
        <row r="2758">
          <cell r="B2758">
            <v>2024274250042</v>
          </cell>
          <cell r="BP2758">
            <v>50</v>
          </cell>
        </row>
        <row r="2759">
          <cell r="B2759">
            <v>2025274250003</v>
          </cell>
          <cell r="BP2759">
            <v>50</v>
          </cell>
        </row>
        <row r="2760">
          <cell r="B2760">
            <v>2024274300073</v>
          </cell>
          <cell r="BP2760">
            <v>100</v>
          </cell>
        </row>
        <row r="2761">
          <cell r="B2761">
            <v>2025274300002</v>
          </cell>
          <cell r="BP2761">
            <v>0</v>
          </cell>
        </row>
        <row r="2762">
          <cell r="B2762">
            <v>2025274300003</v>
          </cell>
          <cell r="BP2762">
            <v>0</v>
          </cell>
        </row>
        <row r="2763">
          <cell r="B2763">
            <v>2025274300005</v>
          </cell>
          <cell r="BP2763">
            <v>78.8</v>
          </cell>
        </row>
        <row r="2764">
          <cell r="B2764">
            <v>20211301010102</v>
          </cell>
          <cell r="BP2764">
            <v>38.200000000000003</v>
          </cell>
        </row>
        <row r="2765">
          <cell r="B2765">
            <v>20231301010067</v>
          </cell>
          <cell r="BP2765">
            <v>35.6</v>
          </cell>
        </row>
        <row r="2766">
          <cell r="B2766">
            <v>2025274500003</v>
          </cell>
          <cell r="BP2766">
            <v>40</v>
          </cell>
        </row>
        <row r="2767">
          <cell r="B2767">
            <v>2025274500004</v>
          </cell>
          <cell r="BP2767">
            <v>89</v>
          </cell>
        </row>
        <row r="2768">
          <cell r="B2768">
            <v>2025274500002</v>
          </cell>
          <cell r="BP2768">
            <v>100</v>
          </cell>
        </row>
        <row r="2769">
          <cell r="B2769">
            <v>20201301011070</v>
          </cell>
          <cell r="BP2769">
            <v>14.4</v>
          </cell>
        </row>
        <row r="2770">
          <cell r="B2770">
            <v>20201301012624</v>
          </cell>
          <cell r="BP2770">
            <v>30</v>
          </cell>
        </row>
        <row r="2771">
          <cell r="B2771">
            <v>20211301012459</v>
          </cell>
          <cell r="BP2771">
            <v>100</v>
          </cell>
        </row>
        <row r="2772">
          <cell r="B2772">
            <v>2025274910001</v>
          </cell>
          <cell r="BP2772">
            <v>100</v>
          </cell>
        </row>
        <row r="2773">
          <cell r="B2773">
            <v>2025274950002</v>
          </cell>
          <cell r="BP2773">
            <v>23.5</v>
          </cell>
        </row>
        <row r="2774">
          <cell r="B2774">
            <v>2025274950003</v>
          </cell>
          <cell r="BP2774">
            <v>0</v>
          </cell>
        </row>
        <row r="2775">
          <cell r="B2775">
            <v>2026274950001</v>
          </cell>
          <cell r="BP2775">
            <v>35.6</v>
          </cell>
        </row>
        <row r="2776">
          <cell r="B2776">
            <v>2024275800002</v>
          </cell>
          <cell r="BP2776">
            <v>17.5</v>
          </cell>
        </row>
        <row r="2777">
          <cell r="B2777">
            <v>2024276000119</v>
          </cell>
          <cell r="BP2777">
            <v>49.2</v>
          </cell>
        </row>
        <row r="2778">
          <cell r="B2778">
            <v>2023276150057</v>
          </cell>
          <cell r="BP2778">
            <v>100</v>
          </cell>
        </row>
        <row r="2779">
          <cell r="B2779">
            <v>2024276150007</v>
          </cell>
          <cell r="BP2779">
            <v>50</v>
          </cell>
        </row>
        <row r="2780">
          <cell r="B2780">
            <v>20251301010033</v>
          </cell>
          <cell r="BP2780">
            <v>0</v>
          </cell>
        </row>
        <row r="2781">
          <cell r="B2781">
            <v>2025276150003</v>
          </cell>
          <cell r="BP2781">
            <v>0</v>
          </cell>
        </row>
        <row r="2782">
          <cell r="B2782">
            <v>2026276600001</v>
          </cell>
          <cell r="BP2782">
            <v>40</v>
          </cell>
        </row>
        <row r="2783">
          <cell r="B2783">
            <v>2025277450001</v>
          </cell>
          <cell r="BP2783">
            <v>100</v>
          </cell>
        </row>
        <row r="2784">
          <cell r="B2784">
            <v>2025277450002</v>
          </cell>
          <cell r="BP2784">
            <v>78.8</v>
          </cell>
        </row>
        <row r="2785">
          <cell r="B2785">
            <v>2024277450033</v>
          </cell>
          <cell r="BP2785">
            <v>100</v>
          </cell>
        </row>
        <row r="2786">
          <cell r="B2786">
            <v>2023277870047</v>
          </cell>
          <cell r="BP2786">
            <v>100</v>
          </cell>
        </row>
        <row r="2787">
          <cell r="B2787">
            <v>2025278000001</v>
          </cell>
          <cell r="BP2787">
            <v>100</v>
          </cell>
        </row>
        <row r="2788">
          <cell r="B2788">
            <v>2024278000011</v>
          </cell>
          <cell r="BP2788">
            <v>0</v>
          </cell>
        </row>
        <row r="2789">
          <cell r="B2789">
            <v>2024278100033</v>
          </cell>
          <cell r="BP2789">
            <v>89</v>
          </cell>
        </row>
        <row r="2790">
          <cell r="B2790">
            <v>2025278100005</v>
          </cell>
          <cell r="BP2790">
            <v>0</v>
          </cell>
        </row>
        <row r="2791">
          <cell r="B2791">
            <v>2025278100006</v>
          </cell>
          <cell r="BP2791">
            <v>78</v>
          </cell>
        </row>
        <row r="2792">
          <cell r="B2792">
            <v>2025278100008</v>
          </cell>
          <cell r="BP2792">
            <v>33.6</v>
          </cell>
        </row>
        <row r="2793">
          <cell r="B2793">
            <v>2025278100009</v>
          </cell>
          <cell r="BP2793">
            <v>53.4</v>
          </cell>
        </row>
        <row r="2794">
          <cell r="B2794">
            <v>2026278100001</v>
          </cell>
          <cell r="BP2794">
            <v>100</v>
          </cell>
        </row>
        <row r="2795">
          <cell r="B2795">
            <v>2022278100043</v>
          </cell>
          <cell r="BP2795">
            <v>41.2</v>
          </cell>
        </row>
        <row r="2796">
          <cell r="B2796">
            <v>2025230680001</v>
          </cell>
          <cell r="BP2796">
            <v>0</v>
          </cell>
        </row>
        <row r="2797">
          <cell r="B2797">
            <v>2025230680003</v>
          </cell>
          <cell r="BP2797">
            <v>22.4</v>
          </cell>
        </row>
        <row r="2798">
          <cell r="B2798">
            <v>2020230790055</v>
          </cell>
          <cell r="BP2798">
            <v>0</v>
          </cell>
        </row>
        <row r="2799">
          <cell r="B2799">
            <v>2022230790011</v>
          </cell>
          <cell r="BP2799">
            <v>4</v>
          </cell>
        </row>
        <row r="2800">
          <cell r="B2800">
            <v>2023230790049</v>
          </cell>
          <cell r="BP2800">
            <v>0</v>
          </cell>
        </row>
        <row r="2801">
          <cell r="B2801">
            <v>2023230790058</v>
          </cell>
          <cell r="BP2801">
            <v>0</v>
          </cell>
        </row>
        <row r="2802">
          <cell r="B2802">
            <v>2024230790033</v>
          </cell>
          <cell r="BP2802">
            <v>4</v>
          </cell>
        </row>
        <row r="2803">
          <cell r="B2803">
            <v>2024230790044</v>
          </cell>
          <cell r="BP2803">
            <v>0</v>
          </cell>
        </row>
        <row r="2804">
          <cell r="B2804">
            <v>2024230790057</v>
          </cell>
          <cell r="BP2804">
            <v>0</v>
          </cell>
        </row>
        <row r="2805">
          <cell r="B2805">
            <v>2024230790076</v>
          </cell>
          <cell r="BP2805">
            <v>0</v>
          </cell>
        </row>
        <row r="2806">
          <cell r="B2806">
            <v>2025230790001</v>
          </cell>
          <cell r="BP2806">
            <v>0</v>
          </cell>
        </row>
        <row r="2807">
          <cell r="B2807">
            <v>2025230790002</v>
          </cell>
          <cell r="BP2807">
            <v>0</v>
          </cell>
        </row>
        <row r="2808">
          <cell r="B2808">
            <v>2025230790005</v>
          </cell>
          <cell r="BP2808">
            <v>20</v>
          </cell>
        </row>
        <row r="2809">
          <cell r="B2809">
            <v>2025230790006</v>
          </cell>
          <cell r="BP2809">
            <v>0</v>
          </cell>
        </row>
        <row r="2810">
          <cell r="B2810">
            <v>2025230790007</v>
          </cell>
          <cell r="BP2810">
            <v>40</v>
          </cell>
        </row>
        <row r="2811">
          <cell r="B2811">
            <v>2022230900158</v>
          </cell>
          <cell r="BP2811">
            <v>0</v>
          </cell>
        </row>
        <row r="2812">
          <cell r="B2812">
            <v>2024230900048</v>
          </cell>
          <cell r="BP2812">
            <v>0</v>
          </cell>
        </row>
        <row r="2813">
          <cell r="B2813">
            <v>2025230900004</v>
          </cell>
          <cell r="BP2813">
            <v>35.6</v>
          </cell>
        </row>
        <row r="2814">
          <cell r="B2814">
            <v>2025230900005</v>
          </cell>
          <cell r="BP2814">
            <v>0</v>
          </cell>
        </row>
        <row r="2815">
          <cell r="B2815">
            <v>2025230900006</v>
          </cell>
          <cell r="BP2815">
            <v>0</v>
          </cell>
        </row>
        <row r="2816">
          <cell r="B2816">
            <v>2024231620097</v>
          </cell>
          <cell r="BP2816">
            <v>94</v>
          </cell>
        </row>
        <row r="2817">
          <cell r="B2817">
            <v>2025231620001</v>
          </cell>
          <cell r="BP2817">
            <v>100</v>
          </cell>
        </row>
        <row r="2818">
          <cell r="B2818">
            <v>2025231620002</v>
          </cell>
          <cell r="BP2818">
            <v>100</v>
          </cell>
        </row>
        <row r="2819">
          <cell r="B2819">
            <v>2025231620007</v>
          </cell>
          <cell r="BP2819">
            <v>0</v>
          </cell>
        </row>
        <row r="2820">
          <cell r="B2820">
            <v>2025231680001</v>
          </cell>
          <cell r="BP2820">
            <v>26.7</v>
          </cell>
        </row>
        <row r="2821">
          <cell r="B2821" t="str">
            <v>2025M004870001</v>
          </cell>
          <cell r="BP2821">
            <v>40</v>
          </cell>
        </row>
        <row r="2822">
          <cell r="B2822">
            <v>2024231680068</v>
          </cell>
          <cell r="BP2822">
            <v>60</v>
          </cell>
        </row>
        <row r="2823">
          <cell r="B2823">
            <v>2025231680002</v>
          </cell>
          <cell r="BP2823">
            <v>33.4</v>
          </cell>
        </row>
        <row r="2824">
          <cell r="B2824">
            <v>2025231820001</v>
          </cell>
          <cell r="BP2824">
            <v>0</v>
          </cell>
        </row>
        <row r="2825">
          <cell r="B2825">
            <v>2025231820003</v>
          </cell>
          <cell r="BP2825">
            <v>30.6</v>
          </cell>
        </row>
        <row r="2826">
          <cell r="B2826">
            <v>2023231820044</v>
          </cell>
          <cell r="BP2826">
            <v>0</v>
          </cell>
        </row>
        <row r="2827">
          <cell r="B2827">
            <v>2024231820014</v>
          </cell>
          <cell r="BP2827">
            <v>6.5</v>
          </cell>
        </row>
        <row r="2828">
          <cell r="B2828">
            <v>2024231820044</v>
          </cell>
          <cell r="BP2828">
            <v>37</v>
          </cell>
        </row>
        <row r="2829">
          <cell r="B2829">
            <v>2024231820074</v>
          </cell>
          <cell r="BP2829">
            <v>13</v>
          </cell>
        </row>
        <row r="2830">
          <cell r="B2830">
            <v>2025231820002</v>
          </cell>
          <cell r="BP2830">
            <v>0</v>
          </cell>
        </row>
        <row r="2831">
          <cell r="B2831">
            <v>2025231890005</v>
          </cell>
          <cell r="BP2831">
            <v>50</v>
          </cell>
        </row>
        <row r="2832">
          <cell r="B2832" t="str">
            <v>2025M004300001</v>
          </cell>
          <cell r="BP2832">
            <v>56</v>
          </cell>
        </row>
        <row r="2833">
          <cell r="B2833">
            <v>2012000020030</v>
          </cell>
          <cell r="BP2833">
            <v>100</v>
          </cell>
        </row>
        <row r="2834">
          <cell r="B2834">
            <v>2012000100154</v>
          </cell>
          <cell r="BP2834">
            <v>0</v>
          </cell>
        </row>
        <row r="2835">
          <cell r="B2835">
            <v>2013000100265</v>
          </cell>
          <cell r="BP2835">
            <v>24</v>
          </cell>
        </row>
        <row r="2836">
          <cell r="B2836">
            <v>2016000100057</v>
          </cell>
          <cell r="BP2836">
            <v>50</v>
          </cell>
        </row>
        <row r="2837">
          <cell r="B2837">
            <v>2018000100165</v>
          </cell>
          <cell r="BP2837">
            <v>100</v>
          </cell>
        </row>
        <row r="2838">
          <cell r="B2838">
            <v>2020000100607</v>
          </cell>
          <cell r="BP2838">
            <v>100</v>
          </cell>
        </row>
        <row r="2839">
          <cell r="B2839">
            <v>2024002230074</v>
          </cell>
          <cell r="BP2839">
            <v>79.2</v>
          </cell>
        </row>
        <row r="2840">
          <cell r="B2840">
            <v>2024002230110</v>
          </cell>
          <cell r="BP2840">
            <v>100</v>
          </cell>
        </row>
        <row r="2841">
          <cell r="B2841">
            <v>2024002230111</v>
          </cell>
          <cell r="BP2841">
            <v>100</v>
          </cell>
        </row>
        <row r="2842">
          <cell r="B2842">
            <v>2024002230114</v>
          </cell>
          <cell r="BP2842">
            <v>81.599999999999994</v>
          </cell>
        </row>
        <row r="2843">
          <cell r="B2843">
            <v>2024002230116</v>
          </cell>
          <cell r="BP2843">
            <v>100</v>
          </cell>
        </row>
        <row r="2844">
          <cell r="B2844">
            <v>2024002230117</v>
          </cell>
          <cell r="BP2844">
            <v>74.8</v>
          </cell>
        </row>
        <row r="2845">
          <cell r="B2845">
            <v>2024002230120</v>
          </cell>
          <cell r="BP2845">
            <v>98.4</v>
          </cell>
        </row>
        <row r="2846">
          <cell r="B2846">
            <v>2025002230005</v>
          </cell>
          <cell r="BP2846">
            <v>100</v>
          </cell>
        </row>
        <row r="2847">
          <cell r="B2847">
            <v>2025002230006</v>
          </cell>
          <cell r="BP2847">
            <v>100</v>
          </cell>
        </row>
        <row r="2848">
          <cell r="B2848">
            <v>2021000100152</v>
          </cell>
          <cell r="BP2848">
            <v>9.9</v>
          </cell>
        </row>
        <row r="2849">
          <cell r="B2849" t="str">
            <v>2025N000550001</v>
          </cell>
          <cell r="BP2849">
            <v>40.9</v>
          </cell>
        </row>
        <row r="2850">
          <cell r="B2850">
            <v>2024002230028</v>
          </cell>
          <cell r="BP2850">
            <v>100</v>
          </cell>
        </row>
        <row r="2851">
          <cell r="B2851">
            <v>2020000100006</v>
          </cell>
          <cell r="BP2851">
            <v>80</v>
          </cell>
        </row>
        <row r="2852">
          <cell r="B2852">
            <v>2021000100048</v>
          </cell>
          <cell r="BP2852">
            <v>100</v>
          </cell>
        </row>
        <row r="2853">
          <cell r="B2853">
            <v>2023002230048</v>
          </cell>
          <cell r="BP2853">
            <v>35.4</v>
          </cell>
        </row>
        <row r="2854">
          <cell r="B2854">
            <v>2021000100511</v>
          </cell>
          <cell r="BP2854">
            <v>96.4</v>
          </cell>
        </row>
        <row r="2855">
          <cell r="B2855">
            <v>2020000100261</v>
          </cell>
          <cell r="BP2855">
            <v>100</v>
          </cell>
        </row>
        <row r="2856">
          <cell r="B2856">
            <v>2024002230021</v>
          </cell>
          <cell r="BP2856">
            <v>100</v>
          </cell>
        </row>
        <row r="2857">
          <cell r="B2857">
            <v>2024002230113</v>
          </cell>
          <cell r="BP2857">
            <v>88.8</v>
          </cell>
        </row>
        <row r="2858">
          <cell r="B2858">
            <v>2025231620010</v>
          </cell>
          <cell r="BP2858">
            <v>100</v>
          </cell>
        </row>
        <row r="2859">
          <cell r="B2859">
            <v>2024002230048</v>
          </cell>
          <cell r="BP2859">
            <v>100</v>
          </cell>
        </row>
        <row r="2860">
          <cell r="B2860">
            <v>2024231820030</v>
          </cell>
          <cell r="BP2860">
            <v>60</v>
          </cell>
        </row>
        <row r="2861">
          <cell r="B2861">
            <v>2021000020020</v>
          </cell>
          <cell r="BP2861">
            <v>50</v>
          </cell>
        </row>
        <row r="2862">
          <cell r="B2862">
            <v>2024002230068</v>
          </cell>
          <cell r="BP2862">
            <v>100</v>
          </cell>
        </row>
        <row r="2863">
          <cell r="B2863">
            <v>2025002230013</v>
          </cell>
          <cell r="BP2863">
            <v>100</v>
          </cell>
        </row>
        <row r="2864">
          <cell r="B2864">
            <v>2025002230017</v>
          </cell>
          <cell r="BP2864">
            <v>100</v>
          </cell>
        </row>
        <row r="2865">
          <cell r="B2865">
            <v>2025234170006</v>
          </cell>
          <cell r="BP2865">
            <v>100</v>
          </cell>
        </row>
        <row r="2866">
          <cell r="B2866">
            <v>2024002230049</v>
          </cell>
          <cell r="BP2866">
            <v>100</v>
          </cell>
        </row>
        <row r="2867">
          <cell r="B2867">
            <v>2025002230010</v>
          </cell>
          <cell r="BP2867">
            <v>0</v>
          </cell>
        </row>
        <row r="2868">
          <cell r="B2868">
            <v>2024234660130</v>
          </cell>
          <cell r="BP2868">
            <v>100</v>
          </cell>
        </row>
        <row r="2869">
          <cell r="B2869">
            <v>2025235000004</v>
          </cell>
          <cell r="BP2869">
            <v>40</v>
          </cell>
        </row>
        <row r="2870">
          <cell r="B2870">
            <v>2025235740002</v>
          </cell>
          <cell r="BP2870">
            <v>100</v>
          </cell>
        </row>
        <row r="2871">
          <cell r="B2871">
            <v>2024002230115</v>
          </cell>
          <cell r="BP2871">
            <v>100</v>
          </cell>
        </row>
        <row r="2872">
          <cell r="B2872">
            <v>2025236750004</v>
          </cell>
          <cell r="BP2872">
            <v>93.2</v>
          </cell>
        </row>
        <row r="2873">
          <cell r="B2873">
            <v>2024002230063</v>
          </cell>
          <cell r="BP2873">
            <v>100</v>
          </cell>
        </row>
        <row r="2874">
          <cell r="B2874">
            <v>2025236860004</v>
          </cell>
          <cell r="BP2874">
            <v>100</v>
          </cell>
        </row>
        <row r="2875">
          <cell r="B2875">
            <v>2022238070059</v>
          </cell>
          <cell r="BP2875">
            <v>50</v>
          </cell>
        </row>
        <row r="2876">
          <cell r="B2876">
            <v>2024238150065</v>
          </cell>
          <cell r="BP2876">
            <v>50</v>
          </cell>
        </row>
        <row r="2877">
          <cell r="B2877">
            <v>2020000100241</v>
          </cell>
          <cell r="BP2877">
            <v>0</v>
          </cell>
        </row>
        <row r="2878">
          <cell r="B2878">
            <v>2021000100030</v>
          </cell>
          <cell r="BP2878">
            <v>48.6</v>
          </cell>
        </row>
        <row r="2879">
          <cell r="B2879">
            <v>2019000100032</v>
          </cell>
          <cell r="BP2879">
            <v>100</v>
          </cell>
        </row>
        <row r="2880">
          <cell r="B2880">
            <v>2020000100055</v>
          </cell>
          <cell r="BP2880">
            <v>49</v>
          </cell>
        </row>
        <row r="2881">
          <cell r="B2881">
            <v>2020000100085</v>
          </cell>
          <cell r="BP2881">
            <v>0</v>
          </cell>
        </row>
        <row r="2882">
          <cell r="B2882">
            <v>2020000100249</v>
          </cell>
          <cell r="BP2882">
            <v>27.9</v>
          </cell>
        </row>
        <row r="2883">
          <cell r="B2883">
            <v>2020000100322</v>
          </cell>
          <cell r="BP2883">
            <v>44.5</v>
          </cell>
        </row>
        <row r="2884">
          <cell r="B2884">
            <v>2020000100380</v>
          </cell>
          <cell r="BP2884">
            <v>99.2</v>
          </cell>
        </row>
        <row r="2885">
          <cell r="B2885">
            <v>2020000100697</v>
          </cell>
          <cell r="BP2885">
            <v>76.3</v>
          </cell>
        </row>
        <row r="2886">
          <cell r="B2886">
            <v>2021000020050</v>
          </cell>
          <cell r="BP2886">
            <v>50</v>
          </cell>
        </row>
        <row r="2887">
          <cell r="B2887">
            <v>2021000100005</v>
          </cell>
          <cell r="BP2887">
            <v>0</v>
          </cell>
        </row>
        <row r="2888">
          <cell r="B2888">
            <v>2021000100052</v>
          </cell>
          <cell r="BP2888">
            <v>60</v>
          </cell>
        </row>
        <row r="2889">
          <cell r="B2889">
            <v>2021000100116</v>
          </cell>
          <cell r="BP2889">
            <v>100</v>
          </cell>
        </row>
        <row r="2890">
          <cell r="B2890">
            <v>2021000100219</v>
          </cell>
          <cell r="BP2890">
            <v>9.9</v>
          </cell>
        </row>
        <row r="2891">
          <cell r="B2891">
            <v>2021000100256</v>
          </cell>
          <cell r="BP2891">
            <v>36.5</v>
          </cell>
        </row>
        <row r="2892">
          <cell r="B2892">
            <v>2021000100455</v>
          </cell>
          <cell r="BP2892">
            <v>100</v>
          </cell>
        </row>
        <row r="2893">
          <cell r="B2893">
            <v>2024000100115</v>
          </cell>
          <cell r="BP2893">
            <v>40</v>
          </cell>
        </row>
        <row r="2894">
          <cell r="B2894">
            <v>2025002230025</v>
          </cell>
          <cell r="BP2894">
            <v>0</v>
          </cell>
        </row>
        <row r="2895">
          <cell r="B2895">
            <v>2020000100023</v>
          </cell>
          <cell r="BP2895">
            <v>27.9</v>
          </cell>
        </row>
        <row r="2896">
          <cell r="B2896">
            <v>2020000100065</v>
          </cell>
          <cell r="BP2896">
            <v>100</v>
          </cell>
        </row>
        <row r="2897">
          <cell r="B2897">
            <v>2020000100418</v>
          </cell>
          <cell r="BP2897">
            <v>100</v>
          </cell>
        </row>
        <row r="2898">
          <cell r="B2898">
            <v>2019000100064</v>
          </cell>
          <cell r="BP2898">
            <v>30.8</v>
          </cell>
        </row>
        <row r="2899">
          <cell r="B2899">
            <v>2020000100116</v>
          </cell>
          <cell r="BP2899">
            <v>32</v>
          </cell>
        </row>
        <row r="2900">
          <cell r="B2900">
            <v>2021000100084</v>
          </cell>
          <cell r="BP2900">
            <v>100</v>
          </cell>
        </row>
        <row r="2901">
          <cell r="B2901">
            <v>2019000100030</v>
          </cell>
          <cell r="BP2901">
            <v>100</v>
          </cell>
        </row>
        <row r="2902">
          <cell r="B2902">
            <v>20253208000001</v>
          </cell>
          <cell r="BP2902">
            <v>40</v>
          </cell>
        </row>
        <row r="2903">
          <cell r="B2903">
            <v>20253208000002</v>
          </cell>
          <cell r="BP2903">
            <v>38</v>
          </cell>
        </row>
        <row r="2904">
          <cell r="B2904">
            <v>2023233000076</v>
          </cell>
          <cell r="BP2904">
            <v>3.5</v>
          </cell>
        </row>
        <row r="2905">
          <cell r="B2905">
            <v>2023233000091</v>
          </cell>
          <cell r="BP2905">
            <v>0</v>
          </cell>
        </row>
        <row r="2906">
          <cell r="B2906">
            <v>2024233000061</v>
          </cell>
          <cell r="BP2906">
            <v>2</v>
          </cell>
        </row>
        <row r="2907">
          <cell r="B2907">
            <v>2025233000003</v>
          </cell>
          <cell r="BP2907">
            <v>100</v>
          </cell>
        </row>
        <row r="2908">
          <cell r="B2908">
            <v>2025233000004</v>
          </cell>
          <cell r="BP2908">
            <v>100</v>
          </cell>
        </row>
        <row r="2909">
          <cell r="B2909">
            <v>2025233000005</v>
          </cell>
          <cell r="BP2909">
            <v>100</v>
          </cell>
        </row>
        <row r="2910">
          <cell r="B2910" t="str">
            <v>2025Rrom010004</v>
          </cell>
          <cell r="BP2910">
            <v>100</v>
          </cell>
        </row>
        <row r="2911">
          <cell r="B2911">
            <v>2024233500130</v>
          </cell>
          <cell r="BP2911">
            <v>0</v>
          </cell>
        </row>
        <row r="2912">
          <cell r="B2912">
            <v>2025233500001</v>
          </cell>
          <cell r="BP2912">
            <v>0</v>
          </cell>
        </row>
        <row r="2913">
          <cell r="B2913">
            <v>2024234170039</v>
          </cell>
          <cell r="BP2913">
            <v>50</v>
          </cell>
        </row>
        <row r="2914">
          <cell r="B2914">
            <v>2025234170002</v>
          </cell>
          <cell r="BP2914">
            <v>11</v>
          </cell>
        </row>
        <row r="2915">
          <cell r="B2915">
            <v>2025234170003</v>
          </cell>
          <cell r="BP2915">
            <v>100</v>
          </cell>
        </row>
        <row r="2916">
          <cell r="B2916">
            <v>2025234170005</v>
          </cell>
          <cell r="BP2916">
            <v>0</v>
          </cell>
        </row>
        <row r="2917">
          <cell r="B2917">
            <v>2025234170007</v>
          </cell>
          <cell r="BP2917">
            <v>100</v>
          </cell>
        </row>
        <row r="2918">
          <cell r="B2918">
            <v>2025234170010</v>
          </cell>
          <cell r="BP2918">
            <v>100</v>
          </cell>
        </row>
        <row r="2919">
          <cell r="B2919">
            <v>2021234640082</v>
          </cell>
          <cell r="BP2919">
            <v>0</v>
          </cell>
        </row>
        <row r="2920">
          <cell r="B2920">
            <v>2024234640082</v>
          </cell>
          <cell r="BP2920">
            <v>27</v>
          </cell>
        </row>
        <row r="2921">
          <cell r="B2921">
            <v>2025234640001</v>
          </cell>
          <cell r="BP2921">
            <v>47</v>
          </cell>
        </row>
        <row r="2922">
          <cell r="B2922">
            <v>2025234640003</v>
          </cell>
          <cell r="BP2922">
            <v>0</v>
          </cell>
        </row>
        <row r="2923">
          <cell r="B2923">
            <v>2023234660044</v>
          </cell>
          <cell r="BP2923">
            <v>8</v>
          </cell>
        </row>
        <row r="2924">
          <cell r="B2924">
            <v>2025234660012</v>
          </cell>
          <cell r="BP2924">
            <v>80.5</v>
          </cell>
        </row>
        <row r="2925">
          <cell r="B2925">
            <v>2013234660015</v>
          </cell>
          <cell r="BP2925">
            <v>0</v>
          </cell>
        </row>
        <row r="2926">
          <cell r="B2926">
            <v>2018234660006</v>
          </cell>
          <cell r="BP2926">
            <v>0</v>
          </cell>
        </row>
        <row r="2927">
          <cell r="B2927">
            <v>2021234660038</v>
          </cell>
          <cell r="BP2927">
            <v>0</v>
          </cell>
        </row>
        <row r="2928">
          <cell r="B2928">
            <v>2025234660001</v>
          </cell>
          <cell r="BP2928">
            <v>50</v>
          </cell>
        </row>
        <row r="2929">
          <cell r="B2929">
            <v>2025234660004</v>
          </cell>
          <cell r="BP2929">
            <v>0</v>
          </cell>
        </row>
        <row r="2930">
          <cell r="B2930">
            <v>2025234660005</v>
          </cell>
          <cell r="BP2930">
            <v>0</v>
          </cell>
        </row>
        <row r="2931">
          <cell r="B2931">
            <v>2025234660006</v>
          </cell>
          <cell r="BP2931">
            <v>44.6</v>
          </cell>
        </row>
        <row r="2932">
          <cell r="B2932">
            <v>2025234660009</v>
          </cell>
          <cell r="BP2932">
            <v>92.4</v>
          </cell>
        </row>
        <row r="2933">
          <cell r="B2933">
            <v>2025234660010</v>
          </cell>
          <cell r="BP2933">
            <v>50</v>
          </cell>
        </row>
        <row r="2934">
          <cell r="B2934">
            <v>2025234660011</v>
          </cell>
          <cell r="BP2934">
            <v>45</v>
          </cell>
        </row>
        <row r="2935">
          <cell r="B2935">
            <v>2025234660013</v>
          </cell>
          <cell r="BP2935">
            <v>34.200000000000003</v>
          </cell>
        </row>
        <row r="2936">
          <cell r="B2936">
            <v>2025230010007</v>
          </cell>
          <cell r="BP2936">
            <v>100</v>
          </cell>
        </row>
        <row r="2937">
          <cell r="B2937">
            <v>2025235000011</v>
          </cell>
          <cell r="BP2937">
            <v>0</v>
          </cell>
        </row>
        <row r="2938">
          <cell r="B2938">
            <v>2025235000012</v>
          </cell>
          <cell r="BP2938">
            <v>34.5</v>
          </cell>
        </row>
        <row r="2939">
          <cell r="B2939">
            <v>2025235000013</v>
          </cell>
          <cell r="BP2939">
            <v>0</v>
          </cell>
        </row>
        <row r="2940">
          <cell r="B2940">
            <v>2023235000041</v>
          </cell>
          <cell r="BP2940">
            <v>0</v>
          </cell>
        </row>
        <row r="2941">
          <cell r="B2941">
            <v>2025235000003</v>
          </cell>
          <cell r="BP2941">
            <v>89</v>
          </cell>
        </row>
        <row r="2942">
          <cell r="B2942">
            <v>2025235000008</v>
          </cell>
          <cell r="BP2942">
            <v>38.1</v>
          </cell>
        </row>
        <row r="2943">
          <cell r="B2943">
            <v>2025235550005</v>
          </cell>
          <cell r="BP2943">
            <v>100</v>
          </cell>
        </row>
        <row r="2944">
          <cell r="B2944">
            <v>2023235700052</v>
          </cell>
          <cell r="BP2944">
            <v>8.9</v>
          </cell>
        </row>
        <row r="2945">
          <cell r="B2945">
            <v>2023235700068</v>
          </cell>
          <cell r="BP2945">
            <v>0</v>
          </cell>
        </row>
        <row r="2946">
          <cell r="B2946">
            <v>2024235700087</v>
          </cell>
          <cell r="BP2946">
            <v>85.4</v>
          </cell>
        </row>
        <row r="2947">
          <cell r="B2947">
            <v>2024235700099</v>
          </cell>
          <cell r="BP2947">
            <v>12</v>
          </cell>
        </row>
        <row r="2948">
          <cell r="B2948">
            <v>2025235700006</v>
          </cell>
          <cell r="BP2948">
            <v>22.2</v>
          </cell>
        </row>
        <row r="2949">
          <cell r="B2949">
            <v>2025235700007</v>
          </cell>
          <cell r="BP2949">
            <v>65.900000000000006</v>
          </cell>
        </row>
        <row r="2950">
          <cell r="B2950">
            <v>2025235700008</v>
          </cell>
          <cell r="BP2950">
            <v>0</v>
          </cell>
        </row>
        <row r="2951">
          <cell r="B2951">
            <v>2025235700010</v>
          </cell>
          <cell r="BP2951">
            <v>89</v>
          </cell>
        </row>
        <row r="2952">
          <cell r="B2952">
            <v>2026235700001</v>
          </cell>
          <cell r="BP2952">
            <v>89</v>
          </cell>
        </row>
        <row r="2953">
          <cell r="B2953" t="str">
            <v>2025N001420002</v>
          </cell>
          <cell r="BP2953">
            <v>0</v>
          </cell>
        </row>
        <row r="2954">
          <cell r="B2954">
            <v>2025235740005</v>
          </cell>
          <cell r="BP2954">
            <v>65.599999999999994</v>
          </cell>
        </row>
        <row r="2955">
          <cell r="B2955">
            <v>20211301010853</v>
          </cell>
          <cell r="BP2955">
            <v>100</v>
          </cell>
        </row>
        <row r="2956">
          <cell r="B2956">
            <v>2025235740007</v>
          </cell>
          <cell r="BP2956">
            <v>63.2</v>
          </cell>
        </row>
        <row r="2957">
          <cell r="B2957">
            <v>2023235800156</v>
          </cell>
          <cell r="BP2957">
            <v>100</v>
          </cell>
        </row>
        <row r="2958">
          <cell r="B2958">
            <v>2024235800168</v>
          </cell>
          <cell r="BP2958">
            <v>29</v>
          </cell>
        </row>
        <row r="2959">
          <cell r="B2959" t="str">
            <v>2023N000860002</v>
          </cell>
          <cell r="BP2959">
            <v>3.4</v>
          </cell>
        </row>
        <row r="2960">
          <cell r="B2960">
            <v>2025235800002</v>
          </cell>
          <cell r="BP2960">
            <v>0</v>
          </cell>
        </row>
        <row r="2961">
          <cell r="B2961" t="str">
            <v>2025M005660001</v>
          </cell>
          <cell r="BP2961">
            <v>47.4</v>
          </cell>
        </row>
        <row r="2962">
          <cell r="B2962">
            <v>2025235860002</v>
          </cell>
          <cell r="BP2962">
            <v>24.4</v>
          </cell>
        </row>
        <row r="2963">
          <cell r="B2963" t="str">
            <v>2025M000860002</v>
          </cell>
          <cell r="BP2963">
            <v>44.5</v>
          </cell>
        </row>
        <row r="2964">
          <cell r="B2964">
            <v>2023236600065</v>
          </cell>
          <cell r="BP2964">
            <v>79.2</v>
          </cell>
        </row>
        <row r="2965">
          <cell r="B2965">
            <v>2024236600083</v>
          </cell>
          <cell r="BP2965">
            <v>50</v>
          </cell>
        </row>
        <row r="2966">
          <cell r="B2966">
            <v>2025236600001</v>
          </cell>
          <cell r="BP2966">
            <v>0</v>
          </cell>
        </row>
        <row r="2967">
          <cell r="B2967">
            <v>2025236600004</v>
          </cell>
          <cell r="BP2967">
            <v>0</v>
          </cell>
        </row>
        <row r="2968">
          <cell r="B2968">
            <v>2025236600007</v>
          </cell>
          <cell r="BP2968">
            <v>100</v>
          </cell>
        </row>
        <row r="2969">
          <cell r="B2969">
            <v>2025236600008</v>
          </cell>
          <cell r="BP2969">
            <v>40</v>
          </cell>
        </row>
        <row r="2970">
          <cell r="B2970">
            <v>2024236700052</v>
          </cell>
          <cell r="BP2970">
            <v>90</v>
          </cell>
        </row>
        <row r="2971">
          <cell r="B2971">
            <v>2024236700051</v>
          </cell>
          <cell r="BP2971">
            <v>28</v>
          </cell>
        </row>
        <row r="2972">
          <cell r="B2972">
            <v>2025236700001</v>
          </cell>
          <cell r="BP2972">
            <v>100</v>
          </cell>
        </row>
        <row r="2973">
          <cell r="B2973">
            <v>2020236720024</v>
          </cell>
          <cell r="BP2973">
            <v>40</v>
          </cell>
        </row>
        <row r="2974">
          <cell r="B2974">
            <v>2025236720007</v>
          </cell>
          <cell r="BP2974">
            <v>25.2</v>
          </cell>
        </row>
        <row r="2975">
          <cell r="B2975">
            <v>2025236720011</v>
          </cell>
          <cell r="BP2975">
            <v>30</v>
          </cell>
        </row>
        <row r="2976">
          <cell r="B2976">
            <v>2025236720014</v>
          </cell>
          <cell r="BP2976">
            <v>30</v>
          </cell>
        </row>
        <row r="2977">
          <cell r="B2977" t="str">
            <v>2025N000980001</v>
          </cell>
          <cell r="BP2977">
            <v>100</v>
          </cell>
        </row>
        <row r="2978">
          <cell r="B2978">
            <v>2021236720125</v>
          </cell>
          <cell r="BP2978">
            <v>60</v>
          </cell>
        </row>
        <row r="2979">
          <cell r="B2979" t="str">
            <v>2023N000980001</v>
          </cell>
          <cell r="BP2979">
            <v>0</v>
          </cell>
        </row>
        <row r="2980">
          <cell r="B2980">
            <v>2023236720136</v>
          </cell>
          <cell r="BP2980">
            <v>100</v>
          </cell>
        </row>
        <row r="2981">
          <cell r="B2981">
            <v>2024236720167</v>
          </cell>
          <cell r="BP2981">
            <v>97.6</v>
          </cell>
        </row>
        <row r="2982">
          <cell r="B2982">
            <v>2025236720004</v>
          </cell>
          <cell r="BP2982">
            <v>66</v>
          </cell>
        </row>
        <row r="2983">
          <cell r="B2983">
            <v>2026236720001</v>
          </cell>
          <cell r="BP2983">
            <v>100</v>
          </cell>
        </row>
        <row r="2984">
          <cell r="B2984">
            <v>2026236720002</v>
          </cell>
          <cell r="BP2984">
            <v>100</v>
          </cell>
        </row>
        <row r="2985">
          <cell r="B2985">
            <v>2025236720013</v>
          </cell>
          <cell r="BP2985">
            <v>40</v>
          </cell>
        </row>
        <row r="2986">
          <cell r="B2986">
            <v>2025236750002</v>
          </cell>
          <cell r="BP2986">
            <v>0</v>
          </cell>
        </row>
        <row r="2987">
          <cell r="B2987">
            <v>2021236750024</v>
          </cell>
          <cell r="BP2987">
            <v>100</v>
          </cell>
        </row>
        <row r="2988">
          <cell r="B2988">
            <v>2022236750014</v>
          </cell>
          <cell r="BP2988">
            <v>0</v>
          </cell>
        </row>
        <row r="2989">
          <cell r="B2989">
            <v>2025236750003</v>
          </cell>
          <cell r="BP2989">
            <v>0</v>
          </cell>
        </row>
        <row r="2990">
          <cell r="B2990">
            <v>2025236780001</v>
          </cell>
          <cell r="BP2990">
            <v>0</v>
          </cell>
        </row>
        <row r="2991">
          <cell r="B2991">
            <v>2023236780099</v>
          </cell>
          <cell r="BP2991">
            <v>28.5</v>
          </cell>
        </row>
        <row r="2992">
          <cell r="B2992">
            <v>2024236780071</v>
          </cell>
          <cell r="BP2992">
            <v>100</v>
          </cell>
        </row>
        <row r="2993">
          <cell r="B2993">
            <v>2025236780002</v>
          </cell>
          <cell r="BP2993">
            <v>100</v>
          </cell>
        </row>
        <row r="2994">
          <cell r="B2994">
            <v>20251301010026</v>
          </cell>
          <cell r="BP2994">
            <v>100</v>
          </cell>
        </row>
        <row r="2995">
          <cell r="B2995">
            <v>20241301010088</v>
          </cell>
          <cell r="BP2995">
            <v>0</v>
          </cell>
        </row>
        <row r="2996">
          <cell r="B2996">
            <v>2024236820104</v>
          </cell>
          <cell r="BP2996">
            <v>14.5</v>
          </cell>
        </row>
        <row r="2997">
          <cell r="B2997">
            <v>2025236820002</v>
          </cell>
          <cell r="BP2997">
            <v>0</v>
          </cell>
        </row>
        <row r="2998">
          <cell r="B2998" t="str">
            <v>2025N00010576</v>
          </cell>
          <cell r="BP2998">
            <v>89</v>
          </cell>
        </row>
        <row r="2999">
          <cell r="B2999" t="str">
            <v>2025N000690001</v>
          </cell>
          <cell r="BP2999">
            <v>60</v>
          </cell>
        </row>
        <row r="3000">
          <cell r="B3000">
            <v>2023236860041</v>
          </cell>
          <cell r="BP3000">
            <v>0</v>
          </cell>
        </row>
        <row r="3001">
          <cell r="B3001">
            <v>2025236860003</v>
          </cell>
          <cell r="BP3001">
            <v>100</v>
          </cell>
        </row>
        <row r="3002">
          <cell r="B3002">
            <v>2025236860006</v>
          </cell>
          <cell r="BP3002">
            <v>100</v>
          </cell>
        </row>
        <row r="3003">
          <cell r="B3003">
            <v>20211301012227</v>
          </cell>
          <cell r="BP3003">
            <v>0</v>
          </cell>
        </row>
        <row r="3004">
          <cell r="B3004">
            <v>2022238070150</v>
          </cell>
          <cell r="BP3004">
            <v>0</v>
          </cell>
        </row>
        <row r="3005">
          <cell r="B3005">
            <v>20241301010256</v>
          </cell>
          <cell r="BP3005">
            <v>0</v>
          </cell>
        </row>
        <row r="3006">
          <cell r="B3006">
            <v>2025238070004</v>
          </cell>
          <cell r="BP3006">
            <v>87.1</v>
          </cell>
        </row>
        <row r="3007">
          <cell r="B3007">
            <v>2025238070006</v>
          </cell>
          <cell r="BP3007">
            <v>100</v>
          </cell>
        </row>
        <row r="3008">
          <cell r="B3008">
            <v>2025238070007</v>
          </cell>
          <cell r="BP3008">
            <v>100</v>
          </cell>
        </row>
        <row r="3009">
          <cell r="B3009">
            <v>2020238150120</v>
          </cell>
          <cell r="BP3009">
            <v>44.5</v>
          </cell>
        </row>
        <row r="3010">
          <cell r="B3010">
            <v>2022238150041</v>
          </cell>
          <cell r="BP3010">
            <v>1.1000000000000001</v>
          </cell>
        </row>
        <row r="3011">
          <cell r="B3011">
            <v>2024238150031</v>
          </cell>
          <cell r="BP3011">
            <v>0</v>
          </cell>
        </row>
        <row r="3012">
          <cell r="B3012">
            <v>2024238150066</v>
          </cell>
          <cell r="BP3012">
            <v>60</v>
          </cell>
        </row>
        <row r="3013">
          <cell r="B3013">
            <v>2025238150001</v>
          </cell>
          <cell r="BP3013">
            <v>10</v>
          </cell>
        </row>
        <row r="3014">
          <cell r="B3014">
            <v>2025238150002</v>
          </cell>
          <cell r="BP3014">
            <v>100</v>
          </cell>
        </row>
        <row r="3015">
          <cell r="B3015">
            <v>2025238150003</v>
          </cell>
          <cell r="BP3015">
            <v>68.400000000000006</v>
          </cell>
        </row>
        <row r="3016">
          <cell r="B3016">
            <v>2025238150004</v>
          </cell>
          <cell r="BP3016">
            <v>16</v>
          </cell>
        </row>
        <row r="3017">
          <cell r="B3017">
            <v>20201301010639</v>
          </cell>
          <cell r="BP3017">
            <v>15.7</v>
          </cell>
        </row>
        <row r="3018">
          <cell r="B3018">
            <v>20251301010019</v>
          </cell>
          <cell r="BP3018">
            <v>100</v>
          </cell>
        </row>
        <row r="3019">
          <cell r="B3019">
            <v>20251301010025</v>
          </cell>
          <cell r="BP3019">
            <v>100</v>
          </cell>
        </row>
        <row r="3020">
          <cell r="B3020">
            <v>2025238550003</v>
          </cell>
          <cell r="BP3020">
            <v>0</v>
          </cell>
        </row>
        <row r="3021">
          <cell r="B3021">
            <v>2025238550010</v>
          </cell>
          <cell r="BP3021">
            <v>80.400000000000006</v>
          </cell>
        </row>
        <row r="3022">
          <cell r="B3022">
            <v>2025250190001</v>
          </cell>
          <cell r="BP3022">
            <v>100</v>
          </cell>
        </row>
        <row r="3023">
          <cell r="B3023">
            <v>2025250350002</v>
          </cell>
          <cell r="BP3023">
            <v>0</v>
          </cell>
        </row>
        <row r="3024">
          <cell r="B3024">
            <v>2025250400001</v>
          </cell>
          <cell r="BP3024">
            <v>82</v>
          </cell>
        </row>
        <row r="3025">
          <cell r="B3025">
            <v>2025250400002</v>
          </cell>
          <cell r="BP3025">
            <v>0</v>
          </cell>
        </row>
        <row r="3026">
          <cell r="B3026">
            <v>2025255990002</v>
          </cell>
          <cell r="BP3026">
            <v>40</v>
          </cell>
        </row>
        <row r="3027">
          <cell r="B3027">
            <v>2025255990005</v>
          </cell>
          <cell r="BP3027">
            <v>35.6</v>
          </cell>
        </row>
        <row r="3028">
          <cell r="B3028">
            <v>2025255990003</v>
          </cell>
          <cell r="BP3028">
            <v>60</v>
          </cell>
        </row>
        <row r="3029">
          <cell r="B3029">
            <v>2025255990001</v>
          </cell>
          <cell r="BP3029">
            <v>0</v>
          </cell>
        </row>
        <row r="3030">
          <cell r="B3030">
            <v>2025255990004</v>
          </cell>
          <cell r="BP3030">
            <v>0</v>
          </cell>
        </row>
        <row r="3031">
          <cell r="B3031">
            <v>2025250530001</v>
          </cell>
          <cell r="BP3031">
            <v>100</v>
          </cell>
        </row>
        <row r="3032">
          <cell r="B3032">
            <v>2025250530002</v>
          </cell>
          <cell r="BP3032">
            <v>100</v>
          </cell>
        </row>
        <row r="3033">
          <cell r="B3033">
            <v>2025250860001</v>
          </cell>
          <cell r="BP3033">
            <v>100</v>
          </cell>
        </row>
        <row r="3034">
          <cell r="B3034">
            <v>2025250860002</v>
          </cell>
          <cell r="BP3034">
            <v>100</v>
          </cell>
        </row>
        <row r="3035">
          <cell r="B3035">
            <v>2022251230073</v>
          </cell>
          <cell r="BP3035">
            <v>0.9</v>
          </cell>
        </row>
        <row r="3036">
          <cell r="B3036">
            <v>2024251480038</v>
          </cell>
          <cell r="BP3036">
            <v>100</v>
          </cell>
        </row>
        <row r="3037">
          <cell r="B3037">
            <v>2025251540001</v>
          </cell>
          <cell r="BP3037">
            <v>26.7</v>
          </cell>
        </row>
        <row r="3038">
          <cell r="B3038">
            <v>2025251780002</v>
          </cell>
          <cell r="BP3038">
            <v>0</v>
          </cell>
        </row>
        <row r="3039">
          <cell r="B3039">
            <v>2023251810042</v>
          </cell>
          <cell r="BP3039">
            <v>0</v>
          </cell>
        </row>
        <row r="3040">
          <cell r="B3040">
            <v>2023251830039</v>
          </cell>
          <cell r="BP3040">
            <v>0</v>
          </cell>
        </row>
        <row r="3041">
          <cell r="B3041">
            <v>2025252240002</v>
          </cell>
          <cell r="BP3041">
            <v>100</v>
          </cell>
        </row>
        <row r="3042">
          <cell r="B3042">
            <v>2025252240004</v>
          </cell>
          <cell r="BP3042">
            <v>40</v>
          </cell>
        </row>
        <row r="3043">
          <cell r="B3043">
            <v>2024252240072</v>
          </cell>
          <cell r="BP3043">
            <v>100</v>
          </cell>
        </row>
        <row r="3044">
          <cell r="B3044">
            <v>2024000100123</v>
          </cell>
          <cell r="BP3044">
            <v>89</v>
          </cell>
        </row>
        <row r="3045">
          <cell r="B3045">
            <v>2024000100053</v>
          </cell>
          <cell r="BP3045">
            <v>100</v>
          </cell>
        </row>
        <row r="3046">
          <cell r="B3046">
            <v>2012000100010</v>
          </cell>
          <cell r="BP3046">
            <v>0</v>
          </cell>
        </row>
        <row r="3047">
          <cell r="B3047">
            <v>2012000100144</v>
          </cell>
          <cell r="BP3047">
            <v>0</v>
          </cell>
        </row>
        <row r="3048">
          <cell r="B3048">
            <v>2017000050039</v>
          </cell>
          <cell r="BP3048">
            <v>0</v>
          </cell>
        </row>
        <row r="3049">
          <cell r="B3049">
            <v>2017000100087</v>
          </cell>
          <cell r="BP3049">
            <v>100</v>
          </cell>
        </row>
        <row r="3050">
          <cell r="B3050">
            <v>2018000050050</v>
          </cell>
          <cell r="BP3050">
            <v>51</v>
          </cell>
        </row>
        <row r="3051">
          <cell r="B3051">
            <v>2018000100160</v>
          </cell>
          <cell r="BP3051">
            <v>95.6</v>
          </cell>
        </row>
        <row r="3052">
          <cell r="B3052">
            <v>2020000050038</v>
          </cell>
          <cell r="BP3052">
            <v>40.6</v>
          </cell>
        </row>
        <row r="3053">
          <cell r="B3053">
            <v>2021000050019</v>
          </cell>
          <cell r="BP3053">
            <v>50</v>
          </cell>
        </row>
        <row r="3054">
          <cell r="B3054">
            <v>2021000100276</v>
          </cell>
          <cell r="BP3054">
            <v>43.2</v>
          </cell>
        </row>
        <row r="3055">
          <cell r="B3055">
            <v>2021000100327</v>
          </cell>
          <cell r="BP3055">
            <v>100</v>
          </cell>
        </row>
        <row r="3056">
          <cell r="B3056">
            <v>2021000100523</v>
          </cell>
          <cell r="BP3056">
            <v>92</v>
          </cell>
        </row>
        <row r="3057">
          <cell r="B3057">
            <v>2021004250686</v>
          </cell>
          <cell r="BP3057">
            <v>0</v>
          </cell>
        </row>
        <row r="3058">
          <cell r="B3058">
            <v>2022004250025</v>
          </cell>
          <cell r="BP3058">
            <v>50</v>
          </cell>
        </row>
        <row r="3059">
          <cell r="B3059">
            <v>2023004250046</v>
          </cell>
          <cell r="BP3059">
            <v>0</v>
          </cell>
        </row>
        <row r="3060">
          <cell r="B3060">
            <v>2025004250001</v>
          </cell>
          <cell r="BP3060">
            <v>98</v>
          </cell>
        </row>
        <row r="3061">
          <cell r="B3061">
            <v>2025004250002</v>
          </cell>
          <cell r="BP3061">
            <v>80.400000000000006</v>
          </cell>
        </row>
        <row r="3062">
          <cell r="B3062">
            <v>2020000100205</v>
          </cell>
          <cell r="BP3062">
            <v>100</v>
          </cell>
        </row>
        <row r="3063">
          <cell r="B3063" t="str">
            <v>2025N010130001</v>
          </cell>
          <cell r="BP3063">
            <v>0</v>
          </cell>
        </row>
        <row r="3064">
          <cell r="B3064">
            <v>2022004250032</v>
          </cell>
          <cell r="BP3064">
            <v>30</v>
          </cell>
        </row>
        <row r="3065">
          <cell r="B3065">
            <v>2024000050021</v>
          </cell>
          <cell r="BP3065">
            <v>100</v>
          </cell>
        </row>
        <row r="3066">
          <cell r="B3066">
            <v>2020000100197</v>
          </cell>
          <cell r="BP3066">
            <v>100</v>
          </cell>
        </row>
        <row r="3067">
          <cell r="B3067">
            <v>2024000100093</v>
          </cell>
          <cell r="BP3067">
            <v>71.599999999999994</v>
          </cell>
        </row>
        <row r="3068">
          <cell r="B3068">
            <v>2019000100022</v>
          </cell>
          <cell r="BP3068">
            <v>53.4</v>
          </cell>
        </row>
        <row r="3069">
          <cell r="B3069">
            <v>2021000100103</v>
          </cell>
          <cell r="BP3069">
            <v>100</v>
          </cell>
        </row>
        <row r="3070">
          <cell r="B3070">
            <v>2019000100027</v>
          </cell>
          <cell r="BP3070">
            <v>100</v>
          </cell>
        </row>
        <row r="3071">
          <cell r="B3071">
            <v>2020000100017</v>
          </cell>
          <cell r="BP3071">
            <v>100</v>
          </cell>
        </row>
        <row r="3072">
          <cell r="B3072">
            <v>2019000100025</v>
          </cell>
          <cell r="BP3072">
            <v>100</v>
          </cell>
        </row>
        <row r="3073">
          <cell r="B3073">
            <v>2020000100216</v>
          </cell>
          <cell r="BP3073">
            <v>100</v>
          </cell>
        </row>
        <row r="3074">
          <cell r="B3074">
            <v>2021000100026</v>
          </cell>
          <cell r="BP3074">
            <v>99.2</v>
          </cell>
        </row>
        <row r="3075">
          <cell r="B3075">
            <v>2020000100075</v>
          </cell>
          <cell r="BP3075">
            <v>100</v>
          </cell>
        </row>
        <row r="3076">
          <cell r="B3076">
            <v>2020000100169</v>
          </cell>
          <cell r="BP3076">
            <v>100</v>
          </cell>
        </row>
        <row r="3077">
          <cell r="B3077">
            <v>2020000100339</v>
          </cell>
          <cell r="BP3077">
            <v>59.2</v>
          </cell>
        </row>
        <row r="3078">
          <cell r="B3078">
            <v>2024252450023</v>
          </cell>
          <cell r="BP3078">
            <v>0</v>
          </cell>
        </row>
        <row r="3079">
          <cell r="B3079">
            <v>2025252450001</v>
          </cell>
          <cell r="BP3079">
            <v>24.5</v>
          </cell>
        </row>
        <row r="3080">
          <cell r="B3080">
            <v>2024252600063</v>
          </cell>
          <cell r="BP3080">
            <v>19.100000000000001</v>
          </cell>
        </row>
        <row r="3081">
          <cell r="B3081">
            <v>2023252600004</v>
          </cell>
          <cell r="BP3081">
            <v>0</v>
          </cell>
        </row>
        <row r="3082">
          <cell r="B3082">
            <v>2025252810001</v>
          </cell>
          <cell r="BP3082">
            <v>0</v>
          </cell>
        </row>
        <row r="3083">
          <cell r="B3083">
            <v>2022252970046</v>
          </cell>
          <cell r="BP3083">
            <v>37.200000000000003</v>
          </cell>
        </row>
        <row r="3084">
          <cell r="B3084">
            <v>2025252990001</v>
          </cell>
          <cell r="BP3084">
            <v>40</v>
          </cell>
        </row>
        <row r="3085">
          <cell r="B3085">
            <v>2025253120003</v>
          </cell>
          <cell r="BP3085">
            <v>50</v>
          </cell>
        </row>
        <row r="3086">
          <cell r="B3086">
            <v>2026253120001</v>
          </cell>
          <cell r="BP3086">
            <v>40</v>
          </cell>
        </row>
        <row r="3087">
          <cell r="B3087">
            <v>2022253120021</v>
          </cell>
          <cell r="BP3087">
            <v>5.5</v>
          </cell>
        </row>
        <row r="3088">
          <cell r="B3088">
            <v>2025253170005</v>
          </cell>
          <cell r="BP3088">
            <v>50</v>
          </cell>
        </row>
        <row r="3089">
          <cell r="B3089">
            <v>2025253170006</v>
          </cell>
          <cell r="BP3089">
            <v>0</v>
          </cell>
        </row>
        <row r="3090">
          <cell r="B3090">
            <v>2025253170007</v>
          </cell>
          <cell r="BP3090">
            <v>0</v>
          </cell>
        </row>
        <row r="3091">
          <cell r="B3091">
            <v>2025253170008</v>
          </cell>
          <cell r="BP3091">
            <v>45</v>
          </cell>
        </row>
        <row r="3092">
          <cell r="B3092">
            <v>2025253170010</v>
          </cell>
          <cell r="BP3092">
            <v>45</v>
          </cell>
        </row>
        <row r="3093">
          <cell r="B3093">
            <v>2025253200001</v>
          </cell>
          <cell r="BP3093">
            <v>89</v>
          </cell>
        </row>
        <row r="3094">
          <cell r="B3094">
            <v>2025253240003</v>
          </cell>
          <cell r="BP3094">
            <v>89</v>
          </cell>
        </row>
        <row r="3095">
          <cell r="B3095">
            <v>2025253240004</v>
          </cell>
          <cell r="BP3095">
            <v>89</v>
          </cell>
        </row>
        <row r="3096">
          <cell r="B3096">
            <v>2025253240005</v>
          </cell>
          <cell r="BP3096">
            <v>89</v>
          </cell>
        </row>
        <row r="3097">
          <cell r="B3097">
            <v>2025253390001</v>
          </cell>
          <cell r="BP3097">
            <v>80</v>
          </cell>
        </row>
        <row r="3098">
          <cell r="B3098">
            <v>2026253390002</v>
          </cell>
          <cell r="BP3098">
            <v>0</v>
          </cell>
        </row>
        <row r="3099">
          <cell r="B3099">
            <v>2025253680001</v>
          </cell>
          <cell r="BP3099">
            <v>100</v>
          </cell>
        </row>
        <row r="3100">
          <cell r="B3100">
            <v>2024253720002</v>
          </cell>
          <cell r="BP3100">
            <v>60</v>
          </cell>
        </row>
        <row r="3101">
          <cell r="B3101">
            <v>2022253940031</v>
          </cell>
          <cell r="BP3101">
            <v>30</v>
          </cell>
        </row>
        <row r="3102">
          <cell r="B3102">
            <v>2025253980001</v>
          </cell>
          <cell r="BP3102">
            <v>92.4</v>
          </cell>
        </row>
        <row r="3103">
          <cell r="B3103">
            <v>2025254070003</v>
          </cell>
          <cell r="BP3103">
            <v>100</v>
          </cell>
        </row>
        <row r="3104">
          <cell r="B3104">
            <v>2024254260027</v>
          </cell>
          <cell r="BP3104">
            <v>0</v>
          </cell>
        </row>
        <row r="3105">
          <cell r="B3105">
            <v>2023254380010</v>
          </cell>
          <cell r="BP3105">
            <v>58.4</v>
          </cell>
        </row>
        <row r="3106">
          <cell r="B3106">
            <v>2024254860075</v>
          </cell>
          <cell r="BP3106">
            <v>19.100000000000001</v>
          </cell>
        </row>
        <row r="3107">
          <cell r="B3107">
            <v>2025254860001</v>
          </cell>
          <cell r="BP3107">
            <v>0</v>
          </cell>
        </row>
        <row r="3108">
          <cell r="B3108">
            <v>2025254880001</v>
          </cell>
          <cell r="BP3108">
            <v>100</v>
          </cell>
        </row>
        <row r="3109">
          <cell r="B3109">
            <v>2025254880002</v>
          </cell>
          <cell r="BP3109">
            <v>100</v>
          </cell>
        </row>
        <row r="3110">
          <cell r="B3110">
            <v>2025254890001</v>
          </cell>
          <cell r="BP3110">
            <v>0</v>
          </cell>
        </row>
        <row r="3111">
          <cell r="B3111">
            <v>2025255130006</v>
          </cell>
          <cell r="BP3111">
            <v>66.400000000000006</v>
          </cell>
        </row>
        <row r="3112">
          <cell r="B3112">
            <v>2025255130007</v>
          </cell>
          <cell r="BP3112">
            <v>100</v>
          </cell>
        </row>
        <row r="3113">
          <cell r="B3113">
            <v>2023255180027</v>
          </cell>
          <cell r="BP3113">
            <v>100</v>
          </cell>
        </row>
        <row r="3114">
          <cell r="B3114">
            <v>2025255240003</v>
          </cell>
          <cell r="BP3114">
            <v>50</v>
          </cell>
        </row>
        <row r="3115">
          <cell r="B3115">
            <v>2025255240001</v>
          </cell>
          <cell r="BP3115">
            <v>100</v>
          </cell>
        </row>
        <row r="3116">
          <cell r="B3116">
            <v>2023255300014</v>
          </cell>
          <cell r="BP3116">
            <v>27.4</v>
          </cell>
        </row>
        <row r="3117">
          <cell r="B3117">
            <v>2025255720002</v>
          </cell>
          <cell r="BP3117">
            <v>69.2</v>
          </cell>
        </row>
        <row r="3118">
          <cell r="B3118">
            <v>2025255720005</v>
          </cell>
          <cell r="BP3118">
            <v>100</v>
          </cell>
        </row>
        <row r="3119">
          <cell r="B3119">
            <v>2025255800003</v>
          </cell>
          <cell r="BP3119">
            <v>20</v>
          </cell>
        </row>
        <row r="3120">
          <cell r="B3120">
            <v>2025255800001</v>
          </cell>
          <cell r="BP3120">
            <v>100</v>
          </cell>
        </row>
        <row r="3121">
          <cell r="B3121">
            <v>2025255800004</v>
          </cell>
          <cell r="BP3121">
            <v>100</v>
          </cell>
        </row>
        <row r="3122">
          <cell r="B3122">
            <v>2025255940001</v>
          </cell>
          <cell r="BP3122">
            <v>100</v>
          </cell>
        </row>
        <row r="3123">
          <cell r="B3123">
            <v>20181301010555</v>
          </cell>
          <cell r="BP3123">
            <v>8.5</v>
          </cell>
        </row>
        <row r="3124">
          <cell r="B3124">
            <v>2022256120007</v>
          </cell>
          <cell r="BP3124">
            <v>19</v>
          </cell>
        </row>
        <row r="3125">
          <cell r="B3125">
            <v>2023256120002</v>
          </cell>
          <cell r="BP3125">
            <v>90</v>
          </cell>
        </row>
        <row r="3126">
          <cell r="B3126">
            <v>2025256490001</v>
          </cell>
          <cell r="BP3126">
            <v>100</v>
          </cell>
        </row>
        <row r="3127">
          <cell r="B3127">
            <v>2025256580001</v>
          </cell>
          <cell r="BP3127">
            <v>10</v>
          </cell>
        </row>
        <row r="3128">
          <cell r="B3128">
            <v>2025256580002</v>
          </cell>
          <cell r="BP3128">
            <v>50</v>
          </cell>
        </row>
        <row r="3129">
          <cell r="B3129">
            <v>2025256580003</v>
          </cell>
          <cell r="BP3129">
            <v>0</v>
          </cell>
        </row>
        <row r="3130">
          <cell r="B3130">
            <v>2023256620041</v>
          </cell>
          <cell r="BP3130">
            <v>0</v>
          </cell>
        </row>
        <row r="3131">
          <cell r="B3131">
            <v>2023257180024</v>
          </cell>
          <cell r="BP3131">
            <v>40.200000000000003</v>
          </cell>
        </row>
        <row r="3132">
          <cell r="B3132">
            <v>2024257180014</v>
          </cell>
          <cell r="BP3132">
            <v>0</v>
          </cell>
        </row>
        <row r="3133">
          <cell r="B3133">
            <v>2023257360006</v>
          </cell>
          <cell r="BP3133">
            <v>57.4</v>
          </cell>
        </row>
        <row r="3134">
          <cell r="B3134">
            <v>2022257430043</v>
          </cell>
          <cell r="BP3134">
            <v>70</v>
          </cell>
        </row>
        <row r="3135">
          <cell r="B3135">
            <v>2025257720001</v>
          </cell>
          <cell r="BP3135">
            <v>44.5</v>
          </cell>
        </row>
        <row r="3136">
          <cell r="B3136">
            <v>2025257720002</v>
          </cell>
          <cell r="BP3136">
            <v>44.5</v>
          </cell>
        </row>
        <row r="3137">
          <cell r="B3137">
            <v>2026257770001</v>
          </cell>
          <cell r="BP3137">
            <v>100</v>
          </cell>
        </row>
        <row r="3138">
          <cell r="B3138">
            <v>2025257810001</v>
          </cell>
          <cell r="BP3138">
            <v>0</v>
          </cell>
        </row>
        <row r="3139">
          <cell r="B3139">
            <v>2025257810002</v>
          </cell>
          <cell r="BP3139">
            <v>0</v>
          </cell>
        </row>
        <row r="3140">
          <cell r="B3140">
            <v>2025257810003</v>
          </cell>
          <cell r="BP3140">
            <v>0</v>
          </cell>
        </row>
        <row r="3141">
          <cell r="B3141">
            <v>2024257850001</v>
          </cell>
          <cell r="BP3141">
            <v>90</v>
          </cell>
        </row>
        <row r="3142">
          <cell r="B3142">
            <v>2025257850003</v>
          </cell>
          <cell r="BP3142">
            <v>100</v>
          </cell>
        </row>
        <row r="3143">
          <cell r="B3143">
            <v>2025257850002</v>
          </cell>
          <cell r="BP3143">
            <v>37.5</v>
          </cell>
        </row>
        <row r="3144">
          <cell r="B3144">
            <v>2024257930063</v>
          </cell>
          <cell r="BP3144">
            <v>100</v>
          </cell>
        </row>
        <row r="3145">
          <cell r="B3145">
            <v>2025257970001</v>
          </cell>
          <cell r="BP3145">
            <v>0</v>
          </cell>
        </row>
        <row r="3146">
          <cell r="B3146">
            <v>2025258050002</v>
          </cell>
          <cell r="BP3146">
            <v>100</v>
          </cell>
        </row>
        <row r="3147">
          <cell r="B3147">
            <v>2025258050001</v>
          </cell>
          <cell r="BP3147">
            <v>100</v>
          </cell>
        </row>
        <row r="3148">
          <cell r="B3148">
            <v>2025258430002</v>
          </cell>
          <cell r="BP3148">
            <v>0</v>
          </cell>
        </row>
        <row r="3149">
          <cell r="B3149">
            <v>2022258510001</v>
          </cell>
          <cell r="BP3149">
            <v>21</v>
          </cell>
        </row>
        <row r="3150">
          <cell r="B3150">
            <v>2024255060061</v>
          </cell>
          <cell r="BP3150">
            <v>24.5</v>
          </cell>
        </row>
        <row r="3151">
          <cell r="B3151">
            <v>2024258620049</v>
          </cell>
          <cell r="BP3151">
            <v>100</v>
          </cell>
        </row>
        <row r="3152">
          <cell r="B3152">
            <v>2025258620001</v>
          </cell>
          <cell r="BP3152">
            <v>100</v>
          </cell>
        </row>
        <row r="3153">
          <cell r="B3153">
            <v>2025258710001</v>
          </cell>
          <cell r="BP3153">
            <v>69.599999999999994</v>
          </cell>
        </row>
        <row r="3154">
          <cell r="B3154">
            <v>2025258750002</v>
          </cell>
          <cell r="BP3154">
            <v>100</v>
          </cell>
        </row>
        <row r="3155">
          <cell r="B3155">
            <v>2025258750003</v>
          </cell>
          <cell r="BP3155">
            <v>60</v>
          </cell>
        </row>
        <row r="3156">
          <cell r="B3156">
            <v>2024258780090</v>
          </cell>
          <cell r="BP3156">
            <v>0</v>
          </cell>
        </row>
        <row r="3157">
          <cell r="B3157">
            <v>2025258850001</v>
          </cell>
          <cell r="BP3157">
            <v>89</v>
          </cell>
        </row>
        <row r="3158">
          <cell r="B3158">
            <v>2021005940003</v>
          </cell>
          <cell r="BP3158">
            <v>89</v>
          </cell>
        </row>
        <row r="3159">
          <cell r="B3159">
            <v>2024000070005</v>
          </cell>
          <cell r="BP3159">
            <v>100</v>
          </cell>
        </row>
        <row r="3160">
          <cell r="B3160">
            <v>2024000070009</v>
          </cell>
          <cell r="BP3160">
            <v>88.8</v>
          </cell>
        </row>
        <row r="3161">
          <cell r="B3161">
            <v>2024000070032</v>
          </cell>
          <cell r="BP3161">
            <v>0</v>
          </cell>
        </row>
        <row r="3162">
          <cell r="B3162">
            <v>2024005940001</v>
          </cell>
          <cell r="BP3162">
            <v>90</v>
          </cell>
        </row>
        <row r="3163">
          <cell r="B3163">
            <v>2025000070022</v>
          </cell>
          <cell r="BP3163">
            <v>100</v>
          </cell>
        </row>
        <row r="3164">
          <cell r="B3164">
            <v>2021005940004</v>
          </cell>
          <cell r="BP3164">
            <v>11</v>
          </cell>
        </row>
        <row r="3165">
          <cell r="B3165">
            <v>2017000070025</v>
          </cell>
          <cell r="BP3165">
            <v>9</v>
          </cell>
        </row>
        <row r="3166">
          <cell r="B3166">
            <v>2020000100592</v>
          </cell>
          <cell r="BP3166">
            <v>100</v>
          </cell>
        </row>
        <row r="3167">
          <cell r="B3167">
            <v>2024940010001</v>
          </cell>
          <cell r="BP3167">
            <v>100</v>
          </cell>
        </row>
        <row r="3168">
          <cell r="B3168">
            <v>20241301010278</v>
          </cell>
          <cell r="BP3168">
            <v>94.8</v>
          </cell>
        </row>
        <row r="3169">
          <cell r="B3169">
            <v>20211301010836</v>
          </cell>
          <cell r="BP3169">
            <v>7.5</v>
          </cell>
        </row>
        <row r="3170">
          <cell r="B3170">
            <v>2024005950025</v>
          </cell>
          <cell r="BP3170">
            <v>40</v>
          </cell>
        </row>
        <row r="3171">
          <cell r="B3171">
            <v>20221301010093</v>
          </cell>
          <cell r="BP3171">
            <v>94.8</v>
          </cell>
        </row>
        <row r="3172">
          <cell r="B3172">
            <v>2025950250002</v>
          </cell>
          <cell r="BP3172">
            <v>100</v>
          </cell>
        </row>
        <row r="3173">
          <cell r="B3173">
            <v>2023005950124</v>
          </cell>
          <cell r="BP3173">
            <v>100</v>
          </cell>
        </row>
        <row r="3174">
          <cell r="B3174">
            <v>2024000070028</v>
          </cell>
          <cell r="BP3174">
            <v>100</v>
          </cell>
        </row>
        <row r="3175">
          <cell r="B3175">
            <v>2024005950018</v>
          </cell>
          <cell r="BP3175">
            <v>99.2</v>
          </cell>
        </row>
        <row r="3176">
          <cell r="B3176">
            <v>2024950150065</v>
          </cell>
          <cell r="BP3176">
            <v>100</v>
          </cell>
        </row>
        <row r="3177">
          <cell r="B3177">
            <v>2025005950001</v>
          </cell>
          <cell r="BP3177">
            <v>98.4</v>
          </cell>
        </row>
        <row r="3178">
          <cell r="B3178">
            <v>2022000100067</v>
          </cell>
          <cell r="BP3178">
            <v>27</v>
          </cell>
        </row>
        <row r="3179">
          <cell r="B3179">
            <v>2013000100187</v>
          </cell>
          <cell r="BP3179">
            <v>76</v>
          </cell>
        </row>
        <row r="3180">
          <cell r="B3180">
            <v>20191301010299</v>
          </cell>
          <cell r="BP3180">
            <v>21.5</v>
          </cell>
        </row>
        <row r="3181">
          <cell r="B3181">
            <v>20201301010952</v>
          </cell>
          <cell r="BP3181">
            <v>97.8</v>
          </cell>
        </row>
        <row r="3182">
          <cell r="B3182">
            <v>2023005950001</v>
          </cell>
          <cell r="BP3182">
            <v>100</v>
          </cell>
        </row>
        <row r="3183">
          <cell r="B3183">
            <v>2024000070020</v>
          </cell>
          <cell r="BP3183">
            <v>42.7</v>
          </cell>
        </row>
        <row r="3184">
          <cell r="B3184">
            <v>2024005950001</v>
          </cell>
          <cell r="BP3184">
            <v>3.5</v>
          </cell>
        </row>
        <row r="3185">
          <cell r="B3185">
            <v>2024005950198</v>
          </cell>
          <cell r="BP3185">
            <v>100</v>
          </cell>
        </row>
        <row r="3186">
          <cell r="B3186">
            <v>2025000070007</v>
          </cell>
          <cell r="BP3186">
            <v>100</v>
          </cell>
        </row>
        <row r="3187">
          <cell r="B3187">
            <v>20201301012486</v>
          </cell>
          <cell r="BP3187">
            <v>100</v>
          </cell>
        </row>
        <row r="3188">
          <cell r="B3188">
            <v>2024005950037</v>
          </cell>
          <cell r="BP3188">
            <v>76</v>
          </cell>
        </row>
        <row r="3189">
          <cell r="B3189">
            <v>2023005950036</v>
          </cell>
          <cell r="BP3189">
            <v>89</v>
          </cell>
        </row>
        <row r="3190">
          <cell r="B3190">
            <v>2024000100005</v>
          </cell>
          <cell r="BP3190">
            <v>100</v>
          </cell>
        </row>
        <row r="3191">
          <cell r="B3191">
            <v>2021000100023</v>
          </cell>
          <cell r="BP3191">
            <v>84.4</v>
          </cell>
        </row>
        <row r="3192">
          <cell r="B3192">
            <v>2016000100004</v>
          </cell>
          <cell r="BP3192">
            <v>0</v>
          </cell>
        </row>
        <row r="3193">
          <cell r="B3193">
            <v>2021000100301</v>
          </cell>
          <cell r="BP3193">
            <v>100</v>
          </cell>
        </row>
        <row r="3194">
          <cell r="B3194">
            <v>2025005950009</v>
          </cell>
          <cell r="BP3194">
            <v>100</v>
          </cell>
        </row>
        <row r="3195">
          <cell r="B3195">
            <v>20211301010431</v>
          </cell>
          <cell r="BP3195">
            <v>89</v>
          </cell>
        </row>
        <row r="3196">
          <cell r="B3196">
            <v>2024000100129</v>
          </cell>
          <cell r="BP3196">
            <v>100</v>
          </cell>
        </row>
        <row r="3197">
          <cell r="B3197">
            <v>2022000100073</v>
          </cell>
          <cell r="BP3197">
            <v>30</v>
          </cell>
        </row>
        <row r="3198">
          <cell r="B3198">
            <v>2021000070030</v>
          </cell>
          <cell r="BP3198">
            <v>100</v>
          </cell>
        </row>
        <row r="3199">
          <cell r="B3199">
            <v>2025005950006</v>
          </cell>
          <cell r="BP3199">
            <v>71.2</v>
          </cell>
        </row>
        <row r="3200">
          <cell r="B3200">
            <v>2021000100004</v>
          </cell>
          <cell r="BP3200">
            <v>91.2</v>
          </cell>
        </row>
        <row r="3201">
          <cell r="B3201">
            <v>2021000100121</v>
          </cell>
          <cell r="BP3201">
            <v>100</v>
          </cell>
        </row>
        <row r="3202">
          <cell r="B3202">
            <v>2024000100078</v>
          </cell>
          <cell r="BP3202">
            <v>100</v>
          </cell>
        </row>
        <row r="3203">
          <cell r="B3203">
            <v>2025950010001</v>
          </cell>
          <cell r="BP3203">
            <v>15</v>
          </cell>
        </row>
        <row r="3204">
          <cell r="B3204">
            <v>2025950010002</v>
          </cell>
          <cell r="BP3204">
            <v>50</v>
          </cell>
        </row>
        <row r="3205">
          <cell r="B3205">
            <v>2025410060005</v>
          </cell>
          <cell r="BP3205">
            <v>100</v>
          </cell>
        </row>
        <row r="3206">
          <cell r="B3206">
            <v>2026410060001</v>
          </cell>
          <cell r="BP3206">
            <v>100</v>
          </cell>
        </row>
        <row r="3207">
          <cell r="B3207">
            <v>2023410160004</v>
          </cell>
          <cell r="BP3207">
            <v>53.4</v>
          </cell>
        </row>
        <row r="3208">
          <cell r="B3208">
            <v>2025410160003</v>
          </cell>
          <cell r="BP3208">
            <v>40.9</v>
          </cell>
        </row>
        <row r="3209">
          <cell r="B3209">
            <v>2025410160007</v>
          </cell>
          <cell r="BP3209">
            <v>34.200000000000003</v>
          </cell>
        </row>
        <row r="3210">
          <cell r="B3210">
            <v>2025410160009</v>
          </cell>
          <cell r="BP3210">
            <v>58</v>
          </cell>
        </row>
        <row r="3211">
          <cell r="B3211">
            <v>2022410260003</v>
          </cell>
          <cell r="BP3211">
            <v>6</v>
          </cell>
        </row>
        <row r="3212">
          <cell r="B3212">
            <v>2025410780008</v>
          </cell>
          <cell r="BP3212">
            <v>30</v>
          </cell>
        </row>
        <row r="3213">
          <cell r="B3213">
            <v>2025410780009</v>
          </cell>
          <cell r="BP3213">
            <v>45</v>
          </cell>
        </row>
        <row r="3214">
          <cell r="B3214">
            <v>2025410780010</v>
          </cell>
          <cell r="BP3214">
            <v>100</v>
          </cell>
        </row>
        <row r="3215">
          <cell r="B3215">
            <v>2025411320001</v>
          </cell>
          <cell r="BP3215">
            <v>100</v>
          </cell>
        </row>
        <row r="3216">
          <cell r="B3216">
            <v>2026411320001</v>
          </cell>
          <cell r="BP3216">
            <v>100</v>
          </cell>
        </row>
        <row r="3217">
          <cell r="B3217">
            <v>2025412060001</v>
          </cell>
          <cell r="BP3217">
            <v>0</v>
          </cell>
        </row>
        <row r="3218">
          <cell r="B3218">
            <v>2025412440002</v>
          </cell>
          <cell r="BP3218">
            <v>0</v>
          </cell>
        </row>
        <row r="3219">
          <cell r="B3219">
            <v>2025412440003</v>
          </cell>
          <cell r="BP3219">
            <v>60</v>
          </cell>
        </row>
        <row r="3220">
          <cell r="B3220">
            <v>2024412980008</v>
          </cell>
          <cell r="BP3220">
            <v>0</v>
          </cell>
        </row>
        <row r="3221">
          <cell r="B3221">
            <v>2024412980010</v>
          </cell>
          <cell r="BP3221">
            <v>0</v>
          </cell>
        </row>
        <row r="3222">
          <cell r="B3222">
            <v>2023412980006</v>
          </cell>
          <cell r="BP3222">
            <v>0</v>
          </cell>
        </row>
        <row r="3223">
          <cell r="B3223">
            <v>2024004410165</v>
          </cell>
          <cell r="BP3223">
            <v>39.6</v>
          </cell>
        </row>
        <row r="3224">
          <cell r="B3224">
            <v>2025413060006</v>
          </cell>
          <cell r="BP3224">
            <v>96</v>
          </cell>
        </row>
        <row r="3225">
          <cell r="B3225">
            <v>2025413190001</v>
          </cell>
          <cell r="BP3225">
            <v>100</v>
          </cell>
        </row>
        <row r="3226">
          <cell r="B3226">
            <v>2023413190055</v>
          </cell>
          <cell r="BP3226">
            <v>100</v>
          </cell>
        </row>
        <row r="3227">
          <cell r="B3227">
            <v>2024413190038</v>
          </cell>
          <cell r="BP3227">
            <v>100</v>
          </cell>
        </row>
        <row r="3228">
          <cell r="B3228">
            <v>2022413490004</v>
          </cell>
          <cell r="BP3228">
            <v>23.5</v>
          </cell>
        </row>
        <row r="3229">
          <cell r="B3229">
            <v>2023413490006</v>
          </cell>
          <cell r="BP3229">
            <v>3</v>
          </cell>
        </row>
        <row r="3230">
          <cell r="B3230">
            <v>2023413490008</v>
          </cell>
          <cell r="BP3230">
            <v>0</v>
          </cell>
        </row>
        <row r="3231">
          <cell r="B3231">
            <v>2024004410166</v>
          </cell>
          <cell r="BP3231">
            <v>100</v>
          </cell>
        </row>
        <row r="3232">
          <cell r="B3232">
            <v>2012000100155</v>
          </cell>
          <cell r="BP3232">
            <v>52</v>
          </cell>
        </row>
        <row r="3233">
          <cell r="B3233">
            <v>2012004410023</v>
          </cell>
          <cell r="BP3233">
            <v>0</v>
          </cell>
        </row>
        <row r="3234">
          <cell r="B3234">
            <v>2016000060013</v>
          </cell>
          <cell r="BP3234">
            <v>0</v>
          </cell>
        </row>
        <row r="3235">
          <cell r="B3235">
            <v>20170000100008</v>
          </cell>
          <cell r="BP3235">
            <v>73.2</v>
          </cell>
        </row>
        <row r="3236">
          <cell r="B3236">
            <v>2017000100014</v>
          </cell>
          <cell r="BP3236">
            <v>0</v>
          </cell>
        </row>
        <row r="3237">
          <cell r="B3237">
            <v>20171301010067</v>
          </cell>
          <cell r="BP3237">
            <v>50</v>
          </cell>
        </row>
        <row r="3238">
          <cell r="B3238">
            <v>2018000060001</v>
          </cell>
          <cell r="BP3238">
            <v>79.2</v>
          </cell>
        </row>
        <row r="3239">
          <cell r="B3239">
            <v>2018000060012</v>
          </cell>
          <cell r="BP3239">
            <v>100</v>
          </cell>
        </row>
        <row r="3240">
          <cell r="B3240">
            <v>2018000100122</v>
          </cell>
          <cell r="BP3240">
            <v>39.6</v>
          </cell>
        </row>
        <row r="3241">
          <cell r="B3241">
            <v>2018000100125</v>
          </cell>
          <cell r="BP3241">
            <v>0</v>
          </cell>
        </row>
        <row r="3242">
          <cell r="B3242">
            <v>2018000100130</v>
          </cell>
          <cell r="BP3242">
            <v>0</v>
          </cell>
        </row>
        <row r="3243">
          <cell r="B3243">
            <v>2018004410179</v>
          </cell>
          <cell r="BP3243">
            <v>50</v>
          </cell>
        </row>
        <row r="3244">
          <cell r="B3244">
            <v>2021000060035</v>
          </cell>
          <cell r="BP3244">
            <v>23</v>
          </cell>
        </row>
        <row r="3245">
          <cell r="B3245">
            <v>2021000100259</v>
          </cell>
          <cell r="BP3245">
            <v>100</v>
          </cell>
        </row>
        <row r="3246">
          <cell r="B3246">
            <v>2021000100379</v>
          </cell>
          <cell r="BP3246">
            <v>45.5</v>
          </cell>
        </row>
        <row r="3247">
          <cell r="B3247">
            <v>2021004410004</v>
          </cell>
          <cell r="BP3247">
            <v>40</v>
          </cell>
        </row>
        <row r="3248">
          <cell r="B3248">
            <v>2021004410009</v>
          </cell>
          <cell r="BP3248">
            <v>65.2</v>
          </cell>
        </row>
        <row r="3249">
          <cell r="B3249">
            <v>2021004410022</v>
          </cell>
          <cell r="BP3249">
            <v>0</v>
          </cell>
        </row>
        <row r="3250">
          <cell r="B3250">
            <v>2021004410023</v>
          </cell>
          <cell r="BP3250">
            <v>90</v>
          </cell>
        </row>
        <row r="3251">
          <cell r="B3251">
            <v>2022004410026</v>
          </cell>
          <cell r="BP3251">
            <v>0</v>
          </cell>
        </row>
        <row r="3252">
          <cell r="B3252">
            <v>2022004410038</v>
          </cell>
          <cell r="BP3252">
            <v>96.4</v>
          </cell>
        </row>
        <row r="3253">
          <cell r="B3253">
            <v>2022004410042</v>
          </cell>
          <cell r="BP3253">
            <v>100</v>
          </cell>
        </row>
        <row r="3254">
          <cell r="B3254">
            <v>2022004410052</v>
          </cell>
          <cell r="BP3254">
            <v>100</v>
          </cell>
        </row>
        <row r="3255">
          <cell r="B3255">
            <v>2022004410054</v>
          </cell>
          <cell r="BP3255">
            <v>100</v>
          </cell>
        </row>
        <row r="3256">
          <cell r="B3256">
            <v>2022004410173</v>
          </cell>
          <cell r="BP3256">
            <v>50</v>
          </cell>
        </row>
        <row r="3257">
          <cell r="B3257">
            <v>2022004410177</v>
          </cell>
          <cell r="BP3257">
            <v>66.8</v>
          </cell>
        </row>
        <row r="3258">
          <cell r="B3258">
            <v>2022004410196</v>
          </cell>
          <cell r="BP3258">
            <v>0</v>
          </cell>
        </row>
        <row r="3259">
          <cell r="B3259" t="str">
            <v>2023M001420002</v>
          </cell>
          <cell r="BP3259">
            <v>5.5</v>
          </cell>
        </row>
        <row r="3260">
          <cell r="B3260">
            <v>2023000060013</v>
          </cell>
          <cell r="BP3260">
            <v>100</v>
          </cell>
        </row>
        <row r="3261">
          <cell r="B3261">
            <v>2023004410008</v>
          </cell>
          <cell r="BP3261">
            <v>100</v>
          </cell>
        </row>
        <row r="3262">
          <cell r="B3262">
            <v>2023004410010</v>
          </cell>
          <cell r="BP3262">
            <v>100</v>
          </cell>
        </row>
        <row r="3263">
          <cell r="B3263">
            <v>2023004410043</v>
          </cell>
          <cell r="BP3263">
            <v>27</v>
          </cell>
        </row>
        <row r="3264">
          <cell r="B3264">
            <v>2023004410063</v>
          </cell>
          <cell r="BP3264">
            <v>50</v>
          </cell>
        </row>
        <row r="3265">
          <cell r="B3265">
            <v>2023004410068</v>
          </cell>
          <cell r="BP3265">
            <v>100</v>
          </cell>
        </row>
        <row r="3266">
          <cell r="B3266">
            <v>2023004410077</v>
          </cell>
          <cell r="BP3266">
            <v>40</v>
          </cell>
        </row>
        <row r="3267">
          <cell r="B3267">
            <v>2023004410088</v>
          </cell>
          <cell r="BP3267">
            <v>83</v>
          </cell>
        </row>
        <row r="3268">
          <cell r="B3268">
            <v>2023004410089</v>
          </cell>
          <cell r="BP3268">
            <v>0</v>
          </cell>
        </row>
        <row r="3269">
          <cell r="B3269">
            <v>2023004410092</v>
          </cell>
          <cell r="BP3269">
            <v>80</v>
          </cell>
        </row>
        <row r="3270">
          <cell r="B3270">
            <v>2023004410126</v>
          </cell>
          <cell r="BP3270">
            <v>100</v>
          </cell>
        </row>
        <row r="3271">
          <cell r="B3271">
            <v>2023004410127</v>
          </cell>
          <cell r="BP3271">
            <v>100</v>
          </cell>
        </row>
        <row r="3272">
          <cell r="B3272">
            <v>2023004410130</v>
          </cell>
          <cell r="BP3272">
            <v>32.5</v>
          </cell>
        </row>
        <row r="3273">
          <cell r="B3273">
            <v>2023004410141</v>
          </cell>
          <cell r="BP3273">
            <v>100</v>
          </cell>
        </row>
        <row r="3274">
          <cell r="B3274">
            <v>2023004410142</v>
          </cell>
          <cell r="BP3274">
            <v>0</v>
          </cell>
        </row>
        <row r="3275">
          <cell r="B3275">
            <v>2023004410145</v>
          </cell>
          <cell r="BP3275">
            <v>100</v>
          </cell>
        </row>
        <row r="3276">
          <cell r="B3276">
            <v>2023004410148</v>
          </cell>
          <cell r="BP3276">
            <v>36.6</v>
          </cell>
        </row>
        <row r="3277">
          <cell r="B3277">
            <v>2023004410241</v>
          </cell>
          <cell r="BP3277">
            <v>50</v>
          </cell>
        </row>
        <row r="3278">
          <cell r="B3278">
            <v>2024004410159</v>
          </cell>
          <cell r="BP3278">
            <v>100</v>
          </cell>
        </row>
        <row r="3279">
          <cell r="B3279">
            <v>2024004410164</v>
          </cell>
          <cell r="BP3279">
            <v>80</v>
          </cell>
        </row>
        <row r="3280">
          <cell r="B3280">
            <v>2025004410003</v>
          </cell>
          <cell r="BP3280">
            <v>0</v>
          </cell>
        </row>
        <row r="3281">
          <cell r="B3281">
            <v>2025004410007</v>
          </cell>
          <cell r="BP3281">
            <v>40</v>
          </cell>
        </row>
        <row r="3282">
          <cell r="B3282">
            <v>2025004410008</v>
          </cell>
          <cell r="BP3282">
            <v>73.2</v>
          </cell>
        </row>
        <row r="3283">
          <cell r="B3283">
            <v>2023004410005</v>
          </cell>
          <cell r="BP3283">
            <v>90</v>
          </cell>
        </row>
        <row r="3284">
          <cell r="B3284">
            <v>2025004410004</v>
          </cell>
          <cell r="BP3284">
            <v>33.200000000000003</v>
          </cell>
        </row>
        <row r="3285">
          <cell r="B3285">
            <v>2025004410016</v>
          </cell>
          <cell r="BP3285">
            <v>100</v>
          </cell>
        </row>
        <row r="3286">
          <cell r="B3286">
            <v>2023000060002</v>
          </cell>
          <cell r="BP3286">
            <v>100</v>
          </cell>
        </row>
        <row r="3287">
          <cell r="B3287">
            <v>2025004410006</v>
          </cell>
          <cell r="BP3287">
            <v>100</v>
          </cell>
        </row>
        <row r="3288">
          <cell r="B3288">
            <v>2025004410019</v>
          </cell>
          <cell r="BP3288">
            <v>100</v>
          </cell>
        </row>
        <row r="3289">
          <cell r="B3289">
            <v>2022000060007</v>
          </cell>
          <cell r="BP3289">
            <v>90</v>
          </cell>
        </row>
        <row r="3290">
          <cell r="B3290">
            <v>2019000060007</v>
          </cell>
          <cell r="BP3290">
            <v>36</v>
          </cell>
        </row>
        <row r="3291">
          <cell r="B3291">
            <v>2021004410011</v>
          </cell>
          <cell r="BP3291">
            <v>96</v>
          </cell>
        </row>
        <row r="3292">
          <cell r="B3292">
            <v>2021004410021</v>
          </cell>
          <cell r="BP3292">
            <v>0</v>
          </cell>
        </row>
        <row r="3293">
          <cell r="B3293">
            <v>2021004410035</v>
          </cell>
          <cell r="BP3293">
            <v>30</v>
          </cell>
        </row>
        <row r="3294">
          <cell r="B3294">
            <v>2021004410149</v>
          </cell>
          <cell r="BP3294">
            <v>11</v>
          </cell>
        </row>
        <row r="3295">
          <cell r="B3295">
            <v>2022004410007</v>
          </cell>
          <cell r="BP3295">
            <v>5.5</v>
          </cell>
        </row>
        <row r="3296">
          <cell r="B3296">
            <v>2022004410029</v>
          </cell>
          <cell r="BP3296">
            <v>100</v>
          </cell>
        </row>
        <row r="3297">
          <cell r="B3297">
            <v>2024004410002</v>
          </cell>
          <cell r="BP3297">
            <v>60</v>
          </cell>
        </row>
        <row r="3298">
          <cell r="B3298">
            <v>2022004410058</v>
          </cell>
          <cell r="BP3298">
            <v>26.1</v>
          </cell>
        </row>
        <row r="3299">
          <cell r="B3299">
            <v>2023004410081</v>
          </cell>
          <cell r="BP3299">
            <v>31</v>
          </cell>
        </row>
        <row r="3300">
          <cell r="B3300">
            <v>2023004410082</v>
          </cell>
          <cell r="BP3300">
            <v>46</v>
          </cell>
        </row>
        <row r="3301">
          <cell r="B3301">
            <v>2023004410086</v>
          </cell>
          <cell r="BP3301">
            <v>31</v>
          </cell>
        </row>
        <row r="3302">
          <cell r="B3302">
            <v>2023004410095</v>
          </cell>
          <cell r="BP3302">
            <v>34.5</v>
          </cell>
        </row>
        <row r="3303">
          <cell r="B3303">
            <v>2021000100267</v>
          </cell>
          <cell r="BP3303">
            <v>98.4</v>
          </cell>
        </row>
        <row r="3304">
          <cell r="B3304">
            <v>2018000100139</v>
          </cell>
          <cell r="BP3304">
            <v>100</v>
          </cell>
        </row>
        <row r="3305">
          <cell r="B3305">
            <v>2023004410037</v>
          </cell>
          <cell r="BP3305">
            <v>38.5</v>
          </cell>
        </row>
        <row r="3306">
          <cell r="B3306">
            <v>2024004410005</v>
          </cell>
          <cell r="BP3306">
            <v>35</v>
          </cell>
        </row>
        <row r="3307">
          <cell r="B3307">
            <v>2023004410099</v>
          </cell>
          <cell r="BP3307">
            <v>45</v>
          </cell>
        </row>
        <row r="3308">
          <cell r="B3308">
            <v>2023004410076</v>
          </cell>
          <cell r="BP3308">
            <v>0</v>
          </cell>
        </row>
        <row r="3309">
          <cell r="B3309">
            <v>2024004410148</v>
          </cell>
          <cell r="BP3309">
            <v>33.5</v>
          </cell>
        </row>
        <row r="3310">
          <cell r="B3310">
            <v>2024000060008</v>
          </cell>
          <cell r="BP3310">
            <v>62.8</v>
          </cell>
        </row>
        <row r="3311">
          <cell r="B3311">
            <v>2024004410022</v>
          </cell>
          <cell r="BP3311">
            <v>100</v>
          </cell>
        </row>
        <row r="3312">
          <cell r="B3312">
            <v>2025004410009</v>
          </cell>
          <cell r="BP3312">
            <v>40</v>
          </cell>
        </row>
        <row r="3313">
          <cell r="B3313">
            <v>2025004410011</v>
          </cell>
          <cell r="BP3313">
            <v>0</v>
          </cell>
        </row>
        <row r="3314">
          <cell r="B3314">
            <v>2025004410012</v>
          </cell>
          <cell r="BP3314">
            <v>0</v>
          </cell>
        </row>
        <row r="3315">
          <cell r="B3315">
            <v>2025004410020</v>
          </cell>
          <cell r="BP3315">
            <v>100</v>
          </cell>
        </row>
        <row r="3316">
          <cell r="B3316">
            <v>2020000100513</v>
          </cell>
          <cell r="BP3316">
            <v>0</v>
          </cell>
        </row>
        <row r="3317">
          <cell r="B3317">
            <v>2024000100025</v>
          </cell>
          <cell r="BP3317">
            <v>100</v>
          </cell>
        </row>
        <row r="3318">
          <cell r="B3318">
            <v>2021000100133</v>
          </cell>
          <cell r="BP3318">
            <v>94.8</v>
          </cell>
        </row>
        <row r="3319">
          <cell r="B3319">
            <v>2020000100400</v>
          </cell>
          <cell r="BP3319">
            <v>0</v>
          </cell>
        </row>
        <row r="3320">
          <cell r="B3320">
            <v>2019000100018</v>
          </cell>
          <cell r="BP3320">
            <v>100</v>
          </cell>
        </row>
        <row r="3321">
          <cell r="B3321">
            <v>2020000100438</v>
          </cell>
          <cell r="BP3321">
            <v>50</v>
          </cell>
        </row>
        <row r="3322">
          <cell r="B3322">
            <v>2020000100461</v>
          </cell>
          <cell r="BP3322">
            <v>0</v>
          </cell>
        </row>
        <row r="3323">
          <cell r="B3323">
            <v>2020000100623</v>
          </cell>
          <cell r="BP3323">
            <v>51.2</v>
          </cell>
        </row>
        <row r="3324">
          <cell r="B3324">
            <v>2021000100065</v>
          </cell>
          <cell r="BP3324">
            <v>53.4</v>
          </cell>
        </row>
        <row r="3325">
          <cell r="B3325">
            <v>2021000100314</v>
          </cell>
          <cell r="BP3325">
            <v>0</v>
          </cell>
        </row>
        <row r="3326">
          <cell r="B3326">
            <v>2021000100380</v>
          </cell>
          <cell r="BP3326">
            <v>100</v>
          </cell>
        </row>
        <row r="3327">
          <cell r="B3327">
            <v>2025413570002</v>
          </cell>
          <cell r="BP3327">
            <v>100</v>
          </cell>
        </row>
        <row r="3328">
          <cell r="B3328">
            <v>2024413570029</v>
          </cell>
          <cell r="BP3328">
            <v>0</v>
          </cell>
        </row>
        <row r="3329">
          <cell r="B3329">
            <v>2025413570001</v>
          </cell>
          <cell r="BP3329">
            <v>0</v>
          </cell>
        </row>
        <row r="3330">
          <cell r="B3330">
            <v>2024413590010</v>
          </cell>
          <cell r="BP3330">
            <v>10</v>
          </cell>
        </row>
        <row r="3331">
          <cell r="B3331">
            <v>2024413590049</v>
          </cell>
          <cell r="BP3331">
            <v>0</v>
          </cell>
        </row>
        <row r="3332">
          <cell r="B3332">
            <v>2024413590051</v>
          </cell>
          <cell r="BP3332">
            <v>0</v>
          </cell>
        </row>
        <row r="3333">
          <cell r="B3333">
            <v>2024413590052</v>
          </cell>
          <cell r="BP3333">
            <v>10</v>
          </cell>
        </row>
        <row r="3334">
          <cell r="B3334">
            <v>2024413590053</v>
          </cell>
          <cell r="BP3334">
            <v>0</v>
          </cell>
        </row>
        <row r="3335">
          <cell r="B3335">
            <v>2025413590002</v>
          </cell>
          <cell r="BP3335">
            <v>0</v>
          </cell>
        </row>
        <row r="3336">
          <cell r="B3336">
            <v>2024413780051</v>
          </cell>
          <cell r="BP3336">
            <v>0</v>
          </cell>
        </row>
        <row r="3337">
          <cell r="B3337">
            <v>2023413780015</v>
          </cell>
          <cell r="BP3337">
            <v>45</v>
          </cell>
        </row>
        <row r="3338">
          <cell r="B3338">
            <v>2025413960002</v>
          </cell>
          <cell r="BP3338">
            <v>92</v>
          </cell>
        </row>
        <row r="3339">
          <cell r="B3339">
            <v>2023413960001</v>
          </cell>
          <cell r="BP3339">
            <v>46</v>
          </cell>
        </row>
        <row r="3340">
          <cell r="B3340">
            <v>2024413960091</v>
          </cell>
          <cell r="BP3340">
            <v>37.5</v>
          </cell>
        </row>
        <row r="3341">
          <cell r="B3341">
            <v>2025413960001</v>
          </cell>
          <cell r="BP3341">
            <v>0</v>
          </cell>
        </row>
        <row r="3342">
          <cell r="B3342">
            <v>2025413960003</v>
          </cell>
          <cell r="BP3342">
            <v>100</v>
          </cell>
        </row>
        <row r="3343">
          <cell r="B3343">
            <v>2025413960004</v>
          </cell>
          <cell r="BP3343">
            <v>30</v>
          </cell>
        </row>
        <row r="3344">
          <cell r="B3344">
            <v>2026413960001</v>
          </cell>
          <cell r="BP3344">
            <v>60.8</v>
          </cell>
        </row>
        <row r="3345">
          <cell r="B3345">
            <v>2025414830001</v>
          </cell>
          <cell r="BP3345">
            <v>31</v>
          </cell>
        </row>
        <row r="3346">
          <cell r="B3346">
            <v>2023414830001</v>
          </cell>
          <cell r="BP3346">
            <v>44</v>
          </cell>
        </row>
        <row r="3347">
          <cell r="B3347">
            <v>2017410010005</v>
          </cell>
          <cell r="BP3347">
            <v>0</v>
          </cell>
        </row>
        <row r="3348">
          <cell r="B3348">
            <v>2022410010001</v>
          </cell>
          <cell r="BP3348">
            <v>100</v>
          </cell>
        </row>
        <row r="3349">
          <cell r="B3349">
            <v>2023410010004</v>
          </cell>
          <cell r="BP3349">
            <v>0</v>
          </cell>
        </row>
        <row r="3350">
          <cell r="B3350">
            <v>2024410010159</v>
          </cell>
          <cell r="BP3350">
            <v>60</v>
          </cell>
        </row>
        <row r="3351">
          <cell r="B3351">
            <v>2025410010003</v>
          </cell>
          <cell r="BP3351">
            <v>100</v>
          </cell>
        </row>
        <row r="3352">
          <cell r="B3352">
            <v>2024410010070</v>
          </cell>
          <cell r="BP3352">
            <v>56</v>
          </cell>
        </row>
        <row r="3353">
          <cell r="B3353">
            <v>2025410010002</v>
          </cell>
          <cell r="BP3353">
            <v>90</v>
          </cell>
        </row>
        <row r="3354">
          <cell r="B3354">
            <v>2025415030001</v>
          </cell>
          <cell r="BP3354">
            <v>0</v>
          </cell>
        </row>
        <row r="3355">
          <cell r="B3355">
            <v>2023415180005</v>
          </cell>
          <cell r="BP3355">
            <v>16.5</v>
          </cell>
        </row>
        <row r="3356">
          <cell r="B3356">
            <v>2025415180001</v>
          </cell>
          <cell r="BP3356">
            <v>100</v>
          </cell>
        </row>
        <row r="3357">
          <cell r="B3357">
            <v>2024415240103</v>
          </cell>
          <cell r="BP3357">
            <v>45</v>
          </cell>
        </row>
        <row r="3358">
          <cell r="B3358">
            <v>20191301010257</v>
          </cell>
          <cell r="BP3358">
            <v>0</v>
          </cell>
        </row>
        <row r="3359">
          <cell r="B3359">
            <v>2024415240036</v>
          </cell>
          <cell r="BP3359">
            <v>50</v>
          </cell>
        </row>
        <row r="3360">
          <cell r="B3360">
            <v>2025415240003</v>
          </cell>
          <cell r="BP3360">
            <v>99.2</v>
          </cell>
        </row>
        <row r="3361">
          <cell r="B3361">
            <v>2025415240004</v>
          </cell>
          <cell r="BP3361">
            <v>76</v>
          </cell>
        </row>
        <row r="3362">
          <cell r="B3362">
            <v>2022415240005</v>
          </cell>
          <cell r="BP3362">
            <v>100</v>
          </cell>
        </row>
        <row r="3363">
          <cell r="B3363">
            <v>2024415240006</v>
          </cell>
          <cell r="BP3363">
            <v>100</v>
          </cell>
        </row>
        <row r="3364">
          <cell r="B3364">
            <v>2025415240001</v>
          </cell>
          <cell r="BP3364">
            <v>100</v>
          </cell>
        </row>
        <row r="3365">
          <cell r="B3365">
            <v>2026415240001</v>
          </cell>
          <cell r="BP3365">
            <v>100</v>
          </cell>
        </row>
        <row r="3366">
          <cell r="B3366">
            <v>2024415300030</v>
          </cell>
          <cell r="BP3366">
            <v>0</v>
          </cell>
        </row>
        <row r="3367">
          <cell r="B3367">
            <v>2024415300031</v>
          </cell>
          <cell r="BP3367">
            <v>0</v>
          </cell>
        </row>
        <row r="3368">
          <cell r="B3368">
            <v>2025415300001</v>
          </cell>
          <cell r="BP3368">
            <v>60</v>
          </cell>
        </row>
        <row r="3369">
          <cell r="B3369">
            <v>2025415300003</v>
          </cell>
          <cell r="BP3369">
            <v>40</v>
          </cell>
        </row>
        <row r="3370">
          <cell r="B3370">
            <v>2025415300004</v>
          </cell>
          <cell r="BP3370">
            <v>40</v>
          </cell>
        </row>
        <row r="3371">
          <cell r="B3371">
            <v>2019415510001</v>
          </cell>
          <cell r="BP3371">
            <v>0</v>
          </cell>
        </row>
        <row r="3372">
          <cell r="B3372">
            <v>2019415510002</v>
          </cell>
          <cell r="BP3372">
            <v>100</v>
          </cell>
        </row>
        <row r="3373">
          <cell r="B3373">
            <v>2024415510097</v>
          </cell>
          <cell r="BP3373">
            <v>91.2</v>
          </cell>
        </row>
        <row r="3374">
          <cell r="B3374">
            <v>2024416150035</v>
          </cell>
          <cell r="BP3374">
            <v>26</v>
          </cell>
        </row>
        <row r="3375">
          <cell r="B3375">
            <v>2025416150002</v>
          </cell>
          <cell r="BP3375">
            <v>40</v>
          </cell>
        </row>
        <row r="3376">
          <cell r="B3376">
            <v>2025416600001</v>
          </cell>
          <cell r="BP3376">
            <v>30</v>
          </cell>
        </row>
        <row r="3377">
          <cell r="B3377">
            <v>2023416680075</v>
          </cell>
          <cell r="BP3377">
            <v>0</v>
          </cell>
        </row>
        <row r="3378">
          <cell r="B3378">
            <v>2025416680005</v>
          </cell>
          <cell r="BP3378">
            <v>0</v>
          </cell>
        </row>
        <row r="3379">
          <cell r="B3379">
            <v>2019416760031</v>
          </cell>
          <cell r="BP3379">
            <v>0</v>
          </cell>
        </row>
        <row r="3380">
          <cell r="B3380">
            <v>2023416760010</v>
          </cell>
          <cell r="BP3380">
            <v>0</v>
          </cell>
        </row>
        <row r="3381">
          <cell r="B3381">
            <v>2023416760012</v>
          </cell>
          <cell r="BP3381">
            <v>45</v>
          </cell>
        </row>
        <row r="3382">
          <cell r="B3382">
            <v>2023416760013</v>
          </cell>
          <cell r="BP3382">
            <v>50</v>
          </cell>
        </row>
        <row r="3383">
          <cell r="B3383">
            <v>2025416760001</v>
          </cell>
          <cell r="BP3383">
            <v>0</v>
          </cell>
        </row>
        <row r="3384">
          <cell r="B3384">
            <v>2025417700002</v>
          </cell>
          <cell r="BP3384">
            <v>100</v>
          </cell>
        </row>
        <row r="3385">
          <cell r="B3385">
            <v>2025417700003</v>
          </cell>
          <cell r="BP3385">
            <v>50</v>
          </cell>
        </row>
        <row r="3386">
          <cell r="B3386">
            <v>2025417700004</v>
          </cell>
          <cell r="BP3386">
            <v>40</v>
          </cell>
        </row>
        <row r="3387">
          <cell r="B3387">
            <v>2025417910001</v>
          </cell>
          <cell r="BP3387">
            <v>0</v>
          </cell>
        </row>
        <row r="3388">
          <cell r="B3388">
            <v>2025417910002</v>
          </cell>
          <cell r="BP3388">
            <v>45</v>
          </cell>
        </row>
        <row r="3389">
          <cell r="B3389">
            <v>2025417910004</v>
          </cell>
          <cell r="BP3389">
            <v>60</v>
          </cell>
        </row>
        <row r="3390">
          <cell r="B3390">
            <v>2025417990002</v>
          </cell>
          <cell r="BP3390">
            <v>100</v>
          </cell>
        </row>
        <row r="3391">
          <cell r="B3391">
            <v>2023004410078</v>
          </cell>
          <cell r="BP3391">
            <v>100</v>
          </cell>
        </row>
        <row r="3392">
          <cell r="B3392">
            <v>2025417990001</v>
          </cell>
          <cell r="BP3392">
            <v>0</v>
          </cell>
        </row>
        <row r="3393">
          <cell r="B3393">
            <v>2025418010002</v>
          </cell>
          <cell r="BP3393">
            <v>19</v>
          </cell>
        </row>
        <row r="3394">
          <cell r="B3394">
            <v>2025418010001</v>
          </cell>
          <cell r="BP3394">
            <v>25.2</v>
          </cell>
        </row>
        <row r="3395">
          <cell r="B3395">
            <v>2025417970001</v>
          </cell>
          <cell r="BP3395">
            <v>50</v>
          </cell>
        </row>
        <row r="3396">
          <cell r="B3396">
            <v>2025417970003</v>
          </cell>
          <cell r="BP3396">
            <v>40</v>
          </cell>
        </row>
        <row r="3397">
          <cell r="B3397">
            <v>2025417970004</v>
          </cell>
          <cell r="BP3397">
            <v>0</v>
          </cell>
        </row>
        <row r="3398">
          <cell r="B3398">
            <v>2023417970032</v>
          </cell>
          <cell r="BP3398">
            <v>0</v>
          </cell>
        </row>
        <row r="3399">
          <cell r="B3399">
            <v>2024418070001</v>
          </cell>
          <cell r="BP3399">
            <v>0</v>
          </cell>
        </row>
        <row r="3400">
          <cell r="B3400">
            <v>2024418070002</v>
          </cell>
          <cell r="BP3400">
            <v>35.700000000000003</v>
          </cell>
        </row>
        <row r="3401">
          <cell r="B3401">
            <v>2025418720001</v>
          </cell>
          <cell r="BP3401">
            <v>9</v>
          </cell>
        </row>
        <row r="3402">
          <cell r="B3402">
            <v>2025418720003</v>
          </cell>
          <cell r="BP3402">
            <v>40</v>
          </cell>
        </row>
        <row r="3403">
          <cell r="B3403">
            <v>2025418720004</v>
          </cell>
          <cell r="BP3403">
            <v>0</v>
          </cell>
        </row>
        <row r="3404">
          <cell r="B3404">
            <v>2015418720002</v>
          </cell>
          <cell r="BP3404">
            <v>25.5</v>
          </cell>
        </row>
        <row r="3405">
          <cell r="B3405">
            <v>2025418720005</v>
          </cell>
          <cell r="BP3405">
            <v>0</v>
          </cell>
        </row>
        <row r="3406">
          <cell r="B3406">
            <v>2025418850007</v>
          </cell>
          <cell r="BP3406">
            <v>30</v>
          </cell>
        </row>
        <row r="3407">
          <cell r="B3407">
            <v>2019418850066</v>
          </cell>
          <cell r="BP3407">
            <v>49.2</v>
          </cell>
        </row>
        <row r="3408">
          <cell r="B3408">
            <v>2023418850003</v>
          </cell>
          <cell r="BP3408">
            <v>32.6</v>
          </cell>
        </row>
        <row r="3409">
          <cell r="B3409">
            <v>2025418850004</v>
          </cell>
          <cell r="BP3409">
            <v>96</v>
          </cell>
        </row>
        <row r="3410">
          <cell r="B3410">
            <v>2025418850005</v>
          </cell>
          <cell r="BP3410">
            <v>40</v>
          </cell>
        </row>
        <row r="3411">
          <cell r="B3411">
            <v>2024418850003</v>
          </cell>
          <cell r="BP3411">
            <v>0</v>
          </cell>
        </row>
        <row r="3412">
          <cell r="B3412">
            <v>2025440350018</v>
          </cell>
          <cell r="BP3412">
            <v>68.8</v>
          </cell>
        </row>
        <row r="3413">
          <cell r="B3413">
            <v>2025440350021</v>
          </cell>
          <cell r="BP3413">
            <v>46.8</v>
          </cell>
        </row>
        <row r="3414">
          <cell r="B3414">
            <v>2025440350022</v>
          </cell>
          <cell r="BP3414">
            <v>98.4</v>
          </cell>
        </row>
        <row r="3415">
          <cell r="B3415">
            <v>2024440350080</v>
          </cell>
          <cell r="BP3415">
            <v>11</v>
          </cell>
        </row>
        <row r="3416">
          <cell r="B3416">
            <v>2025440350002</v>
          </cell>
          <cell r="BP3416">
            <v>100</v>
          </cell>
        </row>
        <row r="3417">
          <cell r="B3417">
            <v>2025440350005</v>
          </cell>
          <cell r="BP3417">
            <v>21</v>
          </cell>
        </row>
        <row r="3418">
          <cell r="B3418">
            <v>2025440350006</v>
          </cell>
          <cell r="BP3418">
            <v>100</v>
          </cell>
        </row>
        <row r="3419">
          <cell r="B3419">
            <v>2025440350008</v>
          </cell>
          <cell r="BP3419">
            <v>100</v>
          </cell>
        </row>
        <row r="3420">
          <cell r="B3420">
            <v>2025440350010</v>
          </cell>
          <cell r="BP3420">
            <v>100</v>
          </cell>
        </row>
        <row r="3421">
          <cell r="B3421">
            <v>2025440350011</v>
          </cell>
          <cell r="BP3421">
            <v>100</v>
          </cell>
        </row>
        <row r="3422">
          <cell r="B3422">
            <v>2025440350012</v>
          </cell>
          <cell r="BP3422">
            <v>50</v>
          </cell>
        </row>
        <row r="3423">
          <cell r="B3423">
            <v>2025440350013</v>
          </cell>
          <cell r="BP3423">
            <v>100</v>
          </cell>
        </row>
        <row r="3424">
          <cell r="B3424">
            <v>2025440350014</v>
          </cell>
          <cell r="BP3424">
            <v>100</v>
          </cell>
        </row>
        <row r="3425">
          <cell r="B3425">
            <v>2025440350016</v>
          </cell>
          <cell r="BP3425">
            <v>36</v>
          </cell>
        </row>
        <row r="3426">
          <cell r="B3426">
            <v>2025440350017</v>
          </cell>
          <cell r="BP3426">
            <v>100</v>
          </cell>
        </row>
        <row r="3427">
          <cell r="B3427">
            <v>2025440350020</v>
          </cell>
          <cell r="BP3427">
            <v>100</v>
          </cell>
        </row>
        <row r="3428">
          <cell r="B3428">
            <v>2025440350026</v>
          </cell>
          <cell r="BP3428">
            <v>68.8</v>
          </cell>
        </row>
        <row r="3429">
          <cell r="B3429">
            <v>2025440350032</v>
          </cell>
          <cell r="BP3429">
            <v>100</v>
          </cell>
        </row>
        <row r="3430">
          <cell r="B3430">
            <v>2020440350055</v>
          </cell>
          <cell r="BP3430">
            <v>100</v>
          </cell>
        </row>
        <row r="3431">
          <cell r="B3431">
            <v>2024440350050</v>
          </cell>
          <cell r="BP3431">
            <v>0</v>
          </cell>
        </row>
        <row r="3432">
          <cell r="B3432">
            <v>2024440350079</v>
          </cell>
          <cell r="BP3432">
            <v>22</v>
          </cell>
        </row>
        <row r="3433">
          <cell r="B3433">
            <v>2025440350001</v>
          </cell>
          <cell r="BP3433">
            <v>100</v>
          </cell>
        </row>
        <row r="3434">
          <cell r="B3434">
            <v>2025440350004</v>
          </cell>
          <cell r="BP3434">
            <v>7.5</v>
          </cell>
        </row>
        <row r="3435">
          <cell r="B3435">
            <v>2025440350019</v>
          </cell>
          <cell r="BP3435">
            <v>17.5</v>
          </cell>
        </row>
        <row r="3436">
          <cell r="B3436">
            <v>2025440350025</v>
          </cell>
          <cell r="BP3436">
            <v>100</v>
          </cell>
        </row>
        <row r="3437">
          <cell r="B3437" t="str">
            <v>2024I00010007</v>
          </cell>
          <cell r="BP3437">
            <v>16</v>
          </cell>
        </row>
        <row r="3438">
          <cell r="B3438" t="str">
            <v>2024M003000001</v>
          </cell>
          <cell r="BP3438">
            <v>100</v>
          </cell>
        </row>
        <row r="3439">
          <cell r="B3439" t="str">
            <v>2023I00010069</v>
          </cell>
          <cell r="BP3439">
            <v>22.4</v>
          </cell>
        </row>
        <row r="3440">
          <cell r="B3440">
            <v>2024440780110</v>
          </cell>
          <cell r="BP3440">
            <v>100</v>
          </cell>
        </row>
        <row r="3441">
          <cell r="B3441">
            <v>2024440780134</v>
          </cell>
          <cell r="BP3441">
            <v>100</v>
          </cell>
        </row>
        <row r="3442">
          <cell r="B3442">
            <v>2025440780005</v>
          </cell>
          <cell r="BP3442">
            <v>100</v>
          </cell>
        </row>
        <row r="3443">
          <cell r="B3443">
            <v>2025440780008</v>
          </cell>
          <cell r="BP3443">
            <v>100</v>
          </cell>
        </row>
        <row r="3444">
          <cell r="B3444">
            <v>2025440780011</v>
          </cell>
          <cell r="BP3444">
            <v>32</v>
          </cell>
        </row>
        <row r="3445">
          <cell r="B3445">
            <v>2025440780012</v>
          </cell>
          <cell r="BP3445">
            <v>60</v>
          </cell>
        </row>
        <row r="3446">
          <cell r="B3446">
            <v>2025440780013</v>
          </cell>
          <cell r="BP3446">
            <v>42</v>
          </cell>
        </row>
        <row r="3447">
          <cell r="B3447">
            <v>2025440780015</v>
          </cell>
          <cell r="BP3447">
            <v>74.400000000000006</v>
          </cell>
        </row>
        <row r="3448">
          <cell r="B3448">
            <v>2025440780025</v>
          </cell>
          <cell r="BP3448">
            <v>35.6</v>
          </cell>
        </row>
        <row r="3449">
          <cell r="B3449">
            <v>2025440780027</v>
          </cell>
          <cell r="BP3449">
            <v>100</v>
          </cell>
        </row>
        <row r="3450">
          <cell r="B3450">
            <v>2025440780028</v>
          </cell>
          <cell r="BP3450">
            <v>100</v>
          </cell>
        </row>
        <row r="3451">
          <cell r="B3451">
            <v>2025440780029</v>
          </cell>
          <cell r="BP3451">
            <v>88.3</v>
          </cell>
        </row>
        <row r="3452">
          <cell r="B3452">
            <v>2025440780030</v>
          </cell>
          <cell r="BP3452">
            <v>100</v>
          </cell>
        </row>
        <row r="3453">
          <cell r="B3453">
            <v>2025440780032</v>
          </cell>
          <cell r="BP3453">
            <v>100</v>
          </cell>
        </row>
        <row r="3454">
          <cell r="B3454">
            <v>20133218000013</v>
          </cell>
          <cell r="BP3454">
            <v>0</v>
          </cell>
        </row>
        <row r="3455">
          <cell r="B3455">
            <v>2015440780002</v>
          </cell>
          <cell r="BP3455">
            <v>0</v>
          </cell>
        </row>
        <row r="3456">
          <cell r="B3456">
            <v>20211301010059</v>
          </cell>
          <cell r="BP3456">
            <v>44</v>
          </cell>
        </row>
        <row r="3457">
          <cell r="B3457">
            <v>2021440780057</v>
          </cell>
          <cell r="BP3457">
            <v>50</v>
          </cell>
        </row>
        <row r="3458">
          <cell r="B3458">
            <v>2022440780044</v>
          </cell>
          <cell r="BP3458">
            <v>0</v>
          </cell>
        </row>
        <row r="3459">
          <cell r="B3459">
            <v>2022440780065</v>
          </cell>
          <cell r="BP3459">
            <v>28.9</v>
          </cell>
        </row>
        <row r="3460">
          <cell r="B3460">
            <v>2023440780021</v>
          </cell>
          <cell r="BP3460">
            <v>17.3</v>
          </cell>
        </row>
        <row r="3461">
          <cell r="B3461">
            <v>2023440780070</v>
          </cell>
          <cell r="BP3461">
            <v>46</v>
          </cell>
        </row>
        <row r="3462">
          <cell r="B3462">
            <v>2024440780132</v>
          </cell>
          <cell r="BP3462">
            <v>6.5</v>
          </cell>
        </row>
        <row r="3463">
          <cell r="B3463">
            <v>2025440780016</v>
          </cell>
          <cell r="BP3463">
            <v>44.5</v>
          </cell>
        </row>
        <row r="3464">
          <cell r="B3464">
            <v>2025440780017</v>
          </cell>
          <cell r="BP3464">
            <v>100</v>
          </cell>
        </row>
        <row r="3465">
          <cell r="B3465">
            <v>2025440780018</v>
          </cell>
          <cell r="BP3465">
            <v>11.2</v>
          </cell>
        </row>
        <row r="3466">
          <cell r="B3466">
            <v>2025440780020</v>
          </cell>
          <cell r="BP3466">
            <v>35.6</v>
          </cell>
        </row>
        <row r="3467">
          <cell r="B3467">
            <v>2025440780022</v>
          </cell>
          <cell r="BP3467">
            <v>0</v>
          </cell>
        </row>
        <row r="3468">
          <cell r="B3468" t="str">
            <v>2024I00010064</v>
          </cell>
          <cell r="BP3468">
            <v>50</v>
          </cell>
        </row>
        <row r="3469">
          <cell r="B3469">
            <v>20133218000009</v>
          </cell>
          <cell r="BP3469">
            <v>0</v>
          </cell>
        </row>
        <row r="3470">
          <cell r="B3470">
            <v>20133218000033</v>
          </cell>
          <cell r="BP3470">
            <v>100</v>
          </cell>
        </row>
        <row r="3471">
          <cell r="B3471">
            <v>20133218000034</v>
          </cell>
          <cell r="BP3471">
            <v>100</v>
          </cell>
        </row>
        <row r="3472">
          <cell r="B3472">
            <v>20203218000003</v>
          </cell>
          <cell r="BP3472">
            <v>50</v>
          </cell>
        </row>
        <row r="3473">
          <cell r="B3473">
            <v>20233218000005</v>
          </cell>
          <cell r="BP3473">
            <v>90</v>
          </cell>
        </row>
        <row r="3474">
          <cell r="B3474">
            <v>20233218000007</v>
          </cell>
          <cell r="BP3474">
            <v>24.5</v>
          </cell>
        </row>
        <row r="3475">
          <cell r="B3475">
            <v>20233218000009</v>
          </cell>
          <cell r="BP3475">
            <v>14</v>
          </cell>
        </row>
        <row r="3476">
          <cell r="B3476">
            <v>20233218000011</v>
          </cell>
          <cell r="BP3476">
            <v>99.2</v>
          </cell>
        </row>
        <row r="3477">
          <cell r="B3477">
            <v>20243218000005</v>
          </cell>
          <cell r="BP3477">
            <v>100</v>
          </cell>
        </row>
        <row r="3478">
          <cell r="B3478">
            <v>20243218000006</v>
          </cell>
          <cell r="BP3478">
            <v>50</v>
          </cell>
        </row>
        <row r="3479">
          <cell r="B3479">
            <v>20243218000007</v>
          </cell>
          <cell r="BP3479">
            <v>50</v>
          </cell>
        </row>
        <row r="3480">
          <cell r="B3480">
            <v>20253218000003</v>
          </cell>
          <cell r="BP3480">
            <v>100</v>
          </cell>
        </row>
        <row r="3481">
          <cell r="B3481">
            <v>20253218000005</v>
          </cell>
          <cell r="BP3481">
            <v>100</v>
          </cell>
        </row>
        <row r="3482">
          <cell r="B3482">
            <v>20253218000008</v>
          </cell>
          <cell r="BP3482">
            <v>20</v>
          </cell>
        </row>
        <row r="3483">
          <cell r="B3483">
            <v>20243218000008</v>
          </cell>
          <cell r="BP3483">
            <v>100</v>
          </cell>
        </row>
        <row r="3484">
          <cell r="B3484">
            <v>20253218000009</v>
          </cell>
          <cell r="BP3484">
            <v>35.6</v>
          </cell>
        </row>
        <row r="3485">
          <cell r="B3485">
            <v>20253218000013</v>
          </cell>
          <cell r="BP3485">
            <v>100</v>
          </cell>
        </row>
        <row r="3486">
          <cell r="B3486">
            <v>2025440900001</v>
          </cell>
          <cell r="BP3486">
            <v>89</v>
          </cell>
        </row>
        <row r="3487">
          <cell r="B3487">
            <v>20241301010160</v>
          </cell>
          <cell r="BP3487">
            <v>0</v>
          </cell>
        </row>
        <row r="3488">
          <cell r="B3488">
            <v>20231301010023</v>
          </cell>
          <cell r="BP3488">
            <v>0</v>
          </cell>
        </row>
        <row r="3489">
          <cell r="B3489">
            <v>2024440980004</v>
          </cell>
          <cell r="BP3489">
            <v>16.5</v>
          </cell>
        </row>
        <row r="3490">
          <cell r="B3490">
            <v>2024441100020</v>
          </cell>
          <cell r="BP3490">
            <v>0</v>
          </cell>
        </row>
        <row r="3491">
          <cell r="B3491">
            <v>20201301010144</v>
          </cell>
          <cell r="BP3491">
            <v>30</v>
          </cell>
        </row>
        <row r="3492">
          <cell r="B3492">
            <v>20201301011622</v>
          </cell>
          <cell r="BP3492">
            <v>100</v>
          </cell>
        </row>
        <row r="3493">
          <cell r="B3493">
            <v>2025442790001</v>
          </cell>
          <cell r="BP3493">
            <v>100</v>
          </cell>
        </row>
        <row r="3494">
          <cell r="B3494">
            <v>2025442790002</v>
          </cell>
          <cell r="BP3494">
            <v>100</v>
          </cell>
        </row>
        <row r="3495">
          <cell r="B3495">
            <v>2024443780104</v>
          </cell>
          <cell r="BP3495">
            <v>2</v>
          </cell>
        </row>
        <row r="3496">
          <cell r="B3496">
            <v>2026443780001</v>
          </cell>
          <cell r="BP3496">
            <v>60</v>
          </cell>
        </row>
        <row r="3497">
          <cell r="B3497">
            <v>2025443780001</v>
          </cell>
          <cell r="BP3497">
            <v>0</v>
          </cell>
        </row>
        <row r="3498">
          <cell r="B3498">
            <v>2025443780006</v>
          </cell>
          <cell r="BP3498">
            <v>35.1</v>
          </cell>
        </row>
        <row r="3499">
          <cell r="B3499">
            <v>2025443780010</v>
          </cell>
          <cell r="BP3499">
            <v>31.5</v>
          </cell>
        </row>
        <row r="3500">
          <cell r="B3500">
            <v>2025443780013</v>
          </cell>
          <cell r="BP3500">
            <v>100</v>
          </cell>
        </row>
        <row r="3501">
          <cell r="B3501">
            <v>2024443780105</v>
          </cell>
          <cell r="BP3501">
            <v>100</v>
          </cell>
        </row>
        <row r="3502">
          <cell r="B3502">
            <v>2025443780011</v>
          </cell>
          <cell r="BP3502">
            <v>81.900000000000006</v>
          </cell>
        </row>
        <row r="3503">
          <cell r="B3503" t="str">
            <v>2025N002760002</v>
          </cell>
          <cell r="BP3503">
            <v>1.7</v>
          </cell>
        </row>
        <row r="3504">
          <cell r="B3504" t="str">
            <v>2025M001960001</v>
          </cell>
          <cell r="BP3504">
            <v>60</v>
          </cell>
        </row>
        <row r="3505">
          <cell r="B3505" t="str">
            <v>2025M000040001</v>
          </cell>
          <cell r="BP3505">
            <v>89</v>
          </cell>
        </row>
        <row r="3506">
          <cell r="B3506" t="str">
            <v>2024M000990001</v>
          </cell>
          <cell r="BP3506">
            <v>46.4</v>
          </cell>
        </row>
        <row r="3507">
          <cell r="B3507">
            <v>2022000100130</v>
          </cell>
          <cell r="BP3507">
            <v>100</v>
          </cell>
        </row>
        <row r="3508">
          <cell r="B3508" t="str">
            <v>2025N000570001</v>
          </cell>
          <cell r="BP3508">
            <v>80.5</v>
          </cell>
        </row>
        <row r="3509">
          <cell r="B3509">
            <v>2017002440008</v>
          </cell>
          <cell r="BP3509">
            <v>0</v>
          </cell>
        </row>
        <row r="3510">
          <cell r="B3510">
            <v>2021002440070</v>
          </cell>
          <cell r="BP3510">
            <v>100</v>
          </cell>
        </row>
        <row r="3511">
          <cell r="B3511">
            <v>2013000100033</v>
          </cell>
          <cell r="BP3511">
            <v>0</v>
          </cell>
        </row>
        <row r="3512">
          <cell r="B3512">
            <v>2018002440081</v>
          </cell>
          <cell r="BP3512">
            <v>36.4</v>
          </cell>
        </row>
        <row r="3513">
          <cell r="B3513">
            <v>2020000100769</v>
          </cell>
          <cell r="BP3513">
            <v>74.7</v>
          </cell>
        </row>
        <row r="3514">
          <cell r="B3514">
            <v>2021002440117</v>
          </cell>
          <cell r="BP3514">
            <v>79.2</v>
          </cell>
        </row>
        <row r="3515">
          <cell r="B3515">
            <v>2022002440040</v>
          </cell>
          <cell r="BP3515">
            <v>31.5</v>
          </cell>
        </row>
        <row r="3516">
          <cell r="B3516">
            <v>2023002440012</v>
          </cell>
          <cell r="BP3516">
            <v>37.799999999999997</v>
          </cell>
        </row>
        <row r="3517">
          <cell r="B3517">
            <v>2023002440086</v>
          </cell>
          <cell r="BP3517">
            <v>66</v>
          </cell>
        </row>
        <row r="3518">
          <cell r="B3518">
            <v>2023440010090</v>
          </cell>
          <cell r="BP3518">
            <v>50</v>
          </cell>
        </row>
        <row r="3519">
          <cell r="B3519">
            <v>2023445600067</v>
          </cell>
          <cell r="BP3519">
            <v>55.2</v>
          </cell>
        </row>
        <row r="3520">
          <cell r="B3520">
            <v>2024002440029</v>
          </cell>
          <cell r="BP3520">
            <v>50</v>
          </cell>
        </row>
        <row r="3521">
          <cell r="B3521">
            <v>2024002440062</v>
          </cell>
          <cell r="BP3521">
            <v>30</v>
          </cell>
        </row>
        <row r="3522">
          <cell r="B3522">
            <v>2024002440076</v>
          </cell>
          <cell r="BP3522">
            <v>14</v>
          </cell>
        </row>
        <row r="3523">
          <cell r="B3523">
            <v>2024002440080</v>
          </cell>
          <cell r="BP3523">
            <v>89.8</v>
          </cell>
        </row>
        <row r="3524">
          <cell r="B3524">
            <v>2024002440087</v>
          </cell>
          <cell r="BP3524">
            <v>60</v>
          </cell>
        </row>
        <row r="3525">
          <cell r="B3525">
            <v>2024002440092</v>
          </cell>
          <cell r="BP3525">
            <v>15</v>
          </cell>
        </row>
        <row r="3526">
          <cell r="B3526">
            <v>2024002440121</v>
          </cell>
          <cell r="BP3526">
            <v>100</v>
          </cell>
        </row>
        <row r="3527">
          <cell r="B3527">
            <v>2025000020051</v>
          </cell>
          <cell r="BP3527">
            <v>36.6</v>
          </cell>
        </row>
        <row r="3528">
          <cell r="B3528">
            <v>2025002440008</v>
          </cell>
          <cell r="BP3528">
            <v>50</v>
          </cell>
        </row>
        <row r="3529">
          <cell r="B3529">
            <v>2025002440017</v>
          </cell>
          <cell r="BP3529">
            <v>50</v>
          </cell>
        </row>
        <row r="3530">
          <cell r="B3530">
            <v>2021002440174</v>
          </cell>
          <cell r="BP3530">
            <v>100</v>
          </cell>
        </row>
        <row r="3531">
          <cell r="B3531">
            <v>2023002440067</v>
          </cell>
          <cell r="BP3531">
            <v>100</v>
          </cell>
        </row>
        <row r="3532">
          <cell r="B3532">
            <v>2024002440114</v>
          </cell>
          <cell r="BP3532">
            <v>60</v>
          </cell>
        </row>
        <row r="3533">
          <cell r="B3533">
            <v>2024002440115</v>
          </cell>
          <cell r="BP3533">
            <v>94.8</v>
          </cell>
        </row>
        <row r="3534">
          <cell r="B3534">
            <v>2024002440116</v>
          </cell>
          <cell r="BP3534">
            <v>60</v>
          </cell>
        </row>
        <row r="3535">
          <cell r="B3535">
            <v>2024002440117</v>
          </cell>
          <cell r="BP3535">
            <v>98.4</v>
          </cell>
        </row>
        <row r="3536">
          <cell r="B3536">
            <v>2024002440122</v>
          </cell>
          <cell r="BP3536">
            <v>60</v>
          </cell>
        </row>
        <row r="3537">
          <cell r="B3537">
            <v>2021002440035</v>
          </cell>
          <cell r="BP3537">
            <v>26.5</v>
          </cell>
        </row>
        <row r="3538">
          <cell r="B3538">
            <v>2022002440139</v>
          </cell>
          <cell r="BP3538">
            <v>80</v>
          </cell>
        </row>
        <row r="3539">
          <cell r="B3539">
            <v>2020000100208</v>
          </cell>
          <cell r="BP3539">
            <v>44.5</v>
          </cell>
        </row>
        <row r="3540">
          <cell r="B3540">
            <v>2017000100081</v>
          </cell>
          <cell r="BP3540">
            <v>100</v>
          </cell>
        </row>
        <row r="3541">
          <cell r="B3541">
            <v>2018002440033</v>
          </cell>
          <cell r="BP3541">
            <v>13.5</v>
          </cell>
        </row>
        <row r="3542">
          <cell r="B3542">
            <v>2021002440068</v>
          </cell>
          <cell r="BP3542">
            <v>20.7</v>
          </cell>
        </row>
        <row r="3543">
          <cell r="B3543">
            <v>2023002440043</v>
          </cell>
          <cell r="BP3543">
            <v>26.5</v>
          </cell>
        </row>
        <row r="3544">
          <cell r="B3544">
            <v>2024002440079</v>
          </cell>
          <cell r="BP3544">
            <v>0</v>
          </cell>
        </row>
        <row r="3545">
          <cell r="B3545">
            <v>2024002440120</v>
          </cell>
          <cell r="BP3545">
            <v>16</v>
          </cell>
        </row>
        <row r="3546">
          <cell r="B3546">
            <v>2024440980026</v>
          </cell>
          <cell r="BP3546">
            <v>93.6</v>
          </cell>
        </row>
        <row r="3547">
          <cell r="B3547">
            <v>2024002440119</v>
          </cell>
          <cell r="BP3547">
            <v>100</v>
          </cell>
        </row>
        <row r="3548">
          <cell r="B3548">
            <v>2021002440056</v>
          </cell>
          <cell r="BP3548">
            <v>90</v>
          </cell>
        </row>
        <row r="3549">
          <cell r="B3549">
            <v>2022002440006</v>
          </cell>
          <cell r="BP3549">
            <v>82</v>
          </cell>
        </row>
        <row r="3550">
          <cell r="B3550">
            <v>2022002440141</v>
          </cell>
          <cell r="BP3550">
            <v>47</v>
          </cell>
        </row>
        <row r="3551">
          <cell r="B3551">
            <v>2023002440059</v>
          </cell>
          <cell r="BP3551">
            <v>100</v>
          </cell>
        </row>
        <row r="3552">
          <cell r="B3552">
            <v>2024002440009</v>
          </cell>
          <cell r="BP3552">
            <v>100</v>
          </cell>
        </row>
        <row r="3553">
          <cell r="B3553">
            <v>2024002440108</v>
          </cell>
          <cell r="BP3553">
            <v>60</v>
          </cell>
        </row>
        <row r="3554">
          <cell r="B3554">
            <v>2023445600073</v>
          </cell>
          <cell r="BP3554">
            <v>100</v>
          </cell>
        </row>
        <row r="3555">
          <cell r="B3555">
            <v>2024002440027</v>
          </cell>
          <cell r="BP3555">
            <v>95.2</v>
          </cell>
        </row>
        <row r="3556">
          <cell r="B3556">
            <v>2024002440063</v>
          </cell>
          <cell r="BP3556">
            <v>87.6</v>
          </cell>
        </row>
        <row r="3557">
          <cell r="B3557">
            <v>2024002440075</v>
          </cell>
          <cell r="BP3557">
            <v>100</v>
          </cell>
        </row>
        <row r="3558">
          <cell r="B3558">
            <v>20241301010082</v>
          </cell>
          <cell r="BP3558">
            <v>58.4</v>
          </cell>
        </row>
        <row r="3559">
          <cell r="B3559">
            <v>2017002440003</v>
          </cell>
          <cell r="BP3559">
            <v>50</v>
          </cell>
        </row>
        <row r="3560">
          <cell r="B3560">
            <v>2020002440025</v>
          </cell>
          <cell r="BP3560">
            <v>24</v>
          </cell>
        </row>
        <row r="3561">
          <cell r="B3561">
            <v>2024440010073</v>
          </cell>
          <cell r="BP3561">
            <v>100</v>
          </cell>
        </row>
        <row r="3562">
          <cell r="B3562">
            <v>20211301011040</v>
          </cell>
          <cell r="BP3562">
            <v>30</v>
          </cell>
        </row>
        <row r="3563">
          <cell r="B3563">
            <v>2024446500054</v>
          </cell>
          <cell r="BP3563">
            <v>61.6</v>
          </cell>
        </row>
        <row r="3564">
          <cell r="B3564">
            <v>2025002440014</v>
          </cell>
          <cell r="BP3564">
            <v>60</v>
          </cell>
        </row>
        <row r="3565">
          <cell r="B3565">
            <v>2025446500001</v>
          </cell>
          <cell r="BP3565">
            <v>60</v>
          </cell>
        </row>
        <row r="3566">
          <cell r="B3566">
            <v>2021002440100</v>
          </cell>
          <cell r="BP3566">
            <v>22</v>
          </cell>
        </row>
        <row r="3567">
          <cell r="B3567">
            <v>2023448550046</v>
          </cell>
          <cell r="BP3567">
            <v>13.5</v>
          </cell>
        </row>
        <row r="3568">
          <cell r="B3568">
            <v>2023448550067</v>
          </cell>
          <cell r="BP3568">
            <v>49.6</v>
          </cell>
        </row>
        <row r="3569">
          <cell r="B3569">
            <v>2024002440125</v>
          </cell>
          <cell r="BP3569">
            <v>100</v>
          </cell>
        </row>
        <row r="3570">
          <cell r="B3570">
            <v>2018002440022</v>
          </cell>
          <cell r="BP3570">
            <v>100</v>
          </cell>
        </row>
        <row r="3571">
          <cell r="B3571">
            <v>2025002440027</v>
          </cell>
          <cell r="BP3571">
            <v>100</v>
          </cell>
        </row>
        <row r="3572">
          <cell r="B3572">
            <v>2025002440034</v>
          </cell>
          <cell r="BP3572">
            <v>60</v>
          </cell>
        </row>
        <row r="3573">
          <cell r="B3573">
            <v>2021000100027</v>
          </cell>
          <cell r="BP3573">
            <v>71.599999999999994</v>
          </cell>
        </row>
        <row r="3574">
          <cell r="B3574">
            <v>2023000100040</v>
          </cell>
          <cell r="BP3574">
            <v>100</v>
          </cell>
        </row>
        <row r="3575">
          <cell r="B3575">
            <v>2021000100134</v>
          </cell>
          <cell r="BP3575">
            <v>100</v>
          </cell>
        </row>
        <row r="3576">
          <cell r="B3576">
            <v>2021000100515</v>
          </cell>
          <cell r="BP3576">
            <v>50</v>
          </cell>
        </row>
        <row r="3577">
          <cell r="B3577">
            <v>2013000100032</v>
          </cell>
          <cell r="BP3577">
            <v>100</v>
          </cell>
        </row>
        <row r="3578">
          <cell r="B3578">
            <v>2019000100033</v>
          </cell>
          <cell r="BP3578">
            <v>100</v>
          </cell>
        </row>
        <row r="3579">
          <cell r="B3579">
            <v>2024002440069</v>
          </cell>
          <cell r="BP3579">
            <v>83.2</v>
          </cell>
        </row>
        <row r="3580">
          <cell r="B3580">
            <v>2025002440042</v>
          </cell>
          <cell r="BP3580">
            <v>100</v>
          </cell>
        </row>
        <row r="3581">
          <cell r="B3581">
            <v>2020000100651</v>
          </cell>
          <cell r="BP3581">
            <v>0</v>
          </cell>
        </row>
        <row r="3582">
          <cell r="B3582">
            <v>2023000100072</v>
          </cell>
          <cell r="BP3582">
            <v>100</v>
          </cell>
        </row>
        <row r="3583">
          <cell r="B3583">
            <v>2019000100031</v>
          </cell>
          <cell r="BP3583">
            <v>73.2</v>
          </cell>
        </row>
        <row r="3584">
          <cell r="B3584">
            <v>2020000100778</v>
          </cell>
          <cell r="BP3584">
            <v>93</v>
          </cell>
        </row>
        <row r="3585">
          <cell r="B3585">
            <v>2024444200025</v>
          </cell>
          <cell r="BP3585">
            <v>0</v>
          </cell>
        </row>
        <row r="3586">
          <cell r="B3586">
            <v>2024444300090</v>
          </cell>
          <cell r="BP3586">
            <v>0</v>
          </cell>
        </row>
        <row r="3587">
          <cell r="B3587">
            <v>2025444300001</v>
          </cell>
          <cell r="BP3587">
            <v>30</v>
          </cell>
        </row>
        <row r="3588">
          <cell r="B3588">
            <v>2012444300007</v>
          </cell>
          <cell r="BP3588">
            <v>100</v>
          </cell>
        </row>
        <row r="3589">
          <cell r="B3589">
            <v>2015444300004</v>
          </cell>
          <cell r="BP3589">
            <v>20</v>
          </cell>
        </row>
        <row r="3590">
          <cell r="B3590">
            <v>2018444300067</v>
          </cell>
          <cell r="BP3590">
            <v>0</v>
          </cell>
        </row>
        <row r="3591">
          <cell r="B3591">
            <v>2019444300013</v>
          </cell>
          <cell r="BP3591">
            <v>100</v>
          </cell>
        </row>
        <row r="3592">
          <cell r="B3592">
            <v>2023444300006</v>
          </cell>
          <cell r="BP3592">
            <v>90</v>
          </cell>
        </row>
        <row r="3593">
          <cell r="B3593">
            <v>2023444300080</v>
          </cell>
          <cell r="BP3593">
            <v>100</v>
          </cell>
        </row>
        <row r="3594">
          <cell r="B3594">
            <v>20243218000004</v>
          </cell>
          <cell r="BP3594">
            <v>95.6</v>
          </cell>
        </row>
        <row r="3595">
          <cell r="B3595">
            <v>2024444300092</v>
          </cell>
          <cell r="BP3595">
            <v>100</v>
          </cell>
        </row>
        <row r="3596">
          <cell r="B3596">
            <v>2024445600061</v>
          </cell>
          <cell r="BP3596">
            <v>0</v>
          </cell>
        </row>
        <row r="3597">
          <cell r="B3597">
            <v>2025445600002</v>
          </cell>
          <cell r="BP3597">
            <v>50</v>
          </cell>
        </row>
        <row r="3598">
          <cell r="B3598">
            <v>2025445600003</v>
          </cell>
          <cell r="BP3598">
            <v>100</v>
          </cell>
        </row>
        <row r="3599">
          <cell r="B3599">
            <v>2025445600004</v>
          </cell>
          <cell r="BP3599">
            <v>96.8</v>
          </cell>
        </row>
        <row r="3600">
          <cell r="B3600">
            <v>2025445600006</v>
          </cell>
          <cell r="BP3600">
            <v>40</v>
          </cell>
        </row>
        <row r="3601">
          <cell r="B3601">
            <v>2025445600010</v>
          </cell>
          <cell r="BP3601">
            <v>100</v>
          </cell>
        </row>
        <row r="3602">
          <cell r="B3602">
            <v>2025445600012</v>
          </cell>
          <cell r="BP3602">
            <v>77.599999999999994</v>
          </cell>
        </row>
        <row r="3603">
          <cell r="B3603" t="str">
            <v>2024I00010057</v>
          </cell>
          <cell r="BP3603">
            <v>50</v>
          </cell>
        </row>
        <row r="3604">
          <cell r="B3604">
            <v>2018440010005</v>
          </cell>
          <cell r="BP3604">
            <v>50</v>
          </cell>
        </row>
        <row r="3605">
          <cell r="B3605">
            <v>2018440010006</v>
          </cell>
          <cell r="BP3605">
            <v>0</v>
          </cell>
        </row>
        <row r="3606">
          <cell r="B3606">
            <v>2020440010108</v>
          </cell>
          <cell r="BP3606">
            <v>0</v>
          </cell>
        </row>
        <row r="3607">
          <cell r="B3607">
            <v>2021440010128</v>
          </cell>
          <cell r="BP3607">
            <v>0</v>
          </cell>
        </row>
        <row r="3608">
          <cell r="B3608">
            <v>2022440010047</v>
          </cell>
          <cell r="BP3608">
            <v>0</v>
          </cell>
        </row>
        <row r="3609">
          <cell r="B3609">
            <v>2024440010075</v>
          </cell>
          <cell r="BP3609">
            <v>100</v>
          </cell>
        </row>
        <row r="3610">
          <cell r="B3610">
            <v>2025440010014</v>
          </cell>
          <cell r="BP3610">
            <v>66.900000000000006</v>
          </cell>
        </row>
        <row r="3611">
          <cell r="B3611">
            <v>2026440010001</v>
          </cell>
          <cell r="BP3611">
            <v>100</v>
          </cell>
        </row>
        <row r="3612">
          <cell r="B3612">
            <v>2023446500053</v>
          </cell>
          <cell r="BP3612">
            <v>0</v>
          </cell>
        </row>
        <row r="3613">
          <cell r="B3613">
            <v>20201301010487</v>
          </cell>
          <cell r="BP3613">
            <v>100</v>
          </cell>
        </row>
        <row r="3614">
          <cell r="B3614">
            <v>2025446500002</v>
          </cell>
          <cell r="BP3614">
            <v>54</v>
          </cell>
        </row>
        <row r="3615">
          <cell r="B3615">
            <v>2020448470051</v>
          </cell>
          <cell r="BP3615">
            <v>0</v>
          </cell>
        </row>
        <row r="3616">
          <cell r="B3616">
            <v>2020448470062</v>
          </cell>
          <cell r="BP3616">
            <v>0</v>
          </cell>
        </row>
        <row r="3617">
          <cell r="B3617">
            <v>2021448470083</v>
          </cell>
          <cell r="BP3617">
            <v>0</v>
          </cell>
        </row>
        <row r="3618">
          <cell r="B3618" t="str">
            <v>2025M000770002</v>
          </cell>
          <cell r="BP3618">
            <v>56</v>
          </cell>
        </row>
        <row r="3619">
          <cell r="B3619">
            <v>2025448470009</v>
          </cell>
          <cell r="BP3619">
            <v>100</v>
          </cell>
        </row>
        <row r="3620">
          <cell r="B3620">
            <v>2023448470089</v>
          </cell>
          <cell r="BP3620">
            <v>23.6</v>
          </cell>
        </row>
        <row r="3621">
          <cell r="B3621">
            <v>2023448470075</v>
          </cell>
          <cell r="BP3621">
            <v>100</v>
          </cell>
        </row>
        <row r="3622">
          <cell r="B3622">
            <v>2024448470107</v>
          </cell>
          <cell r="BP3622">
            <v>89</v>
          </cell>
        </row>
        <row r="3623">
          <cell r="B3623">
            <v>2024448470124</v>
          </cell>
          <cell r="BP3623">
            <v>100</v>
          </cell>
        </row>
        <row r="3624">
          <cell r="B3624">
            <v>2024448470125</v>
          </cell>
          <cell r="BP3624">
            <v>0</v>
          </cell>
        </row>
        <row r="3625">
          <cell r="B3625">
            <v>2025448470001</v>
          </cell>
          <cell r="BP3625">
            <v>0</v>
          </cell>
        </row>
        <row r="3626">
          <cell r="B3626">
            <v>2025448470003</v>
          </cell>
          <cell r="BP3626">
            <v>48</v>
          </cell>
        </row>
        <row r="3627">
          <cell r="B3627">
            <v>2025448470006</v>
          </cell>
          <cell r="BP3627">
            <v>100</v>
          </cell>
        </row>
        <row r="3628">
          <cell r="B3628">
            <v>2025448470007</v>
          </cell>
          <cell r="BP3628">
            <v>100</v>
          </cell>
        </row>
        <row r="3629">
          <cell r="B3629">
            <v>2025448470008</v>
          </cell>
          <cell r="BP3629">
            <v>100</v>
          </cell>
        </row>
        <row r="3630">
          <cell r="B3630">
            <v>2025448470011</v>
          </cell>
          <cell r="BP3630">
            <v>100</v>
          </cell>
        </row>
        <row r="3631">
          <cell r="B3631">
            <v>2025448470012</v>
          </cell>
          <cell r="BP3631">
            <v>100</v>
          </cell>
        </row>
        <row r="3632">
          <cell r="B3632">
            <v>2025448470015</v>
          </cell>
          <cell r="BP3632">
            <v>89</v>
          </cell>
        </row>
        <row r="3633">
          <cell r="B3633">
            <v>2025448470016</v>
          </cell>
          <cell r="BP3633">
            <v>89</v>
          </cell>
        </row>
        <row r="3634">
          <cell r="B3634">
            <v>2019448470033</v>
          </cell>
          <cell r="BP3634">
            <v>0</v>
          </cell>
        </row>
        <row r="3635">
          <cell r="B3635">
            <v>2019448470036</v>
          </cell>
          <cell r="BP3635">
            <v>0</v>
          </cell>
        </row>
        <row r="3636">
          <cell r="B3636">
            <v>2022448470061</v>
          </cell>
          <cell r="BP3636">
            <v>50</v>
          </cell>
        </row>
        <row r="3637">
          <cell r="B3637">
            <v>2023448470066</v>
          </cell>
          <cell r="BP3637">
            <v>23.5</v>
          </cell>
        </row>
        <row r="3638">
          <cell r="B3638">
            <v>2024448470123</v>
          </cell>
          <cell r="BP3638">
            <v>47.6</v>
          </cell>
        </row>
        <row r="3639">
          <cell r="B3639">
            <v>2024448550037</v>
          </cell>
          <cell r="BP3639">
            <v>100</v>
          </cell>
        </row>
        <row r="3640">
          <cell r="B3640">
            <v>2023448550072</v>
          </cell>
          <cell r="BP3640">
            <v>0</v>
          </cell>
        </row>
        <row r="3641">
          <cell r="B3641">
            <v>2025448550002</v>
          </cell>
          <cell r="BP3641">
            <v>100</v>
          </cell>
        </row>
        <row r="3642">
          <cell r="B3642">
            <v>2025448550004</v>
          </cell>
          <cell r="BP3642">
            <v>100</v>
          </cell>
        </row>
        <row r="3643">
          <cell r="B3643">
            <v>2023448740018</v>
          </cell>
          <cell r="BP3643">
            <v>89</v>
          </cell>
        </row>
        <row r="3644">
          <cell r="B3644">
            <v>2025448740001</v>
          </cell>
          <cell r="BP3644">
            <v>40</v>
          </cell>
        </row>
        <row r="3645">
          <cell r="B3645">
            <v>2025448740002</v>
          </cell>
          <cell r="BP3645">
            <v>72</v>
          </cell>
        </row>
        <row r="3646">
          <cell r="B3646">
            <v>2025470300001</v>
          </cell>
          <cell r="BP3646">
            <v>100</v>
          </cell>
        </row>
        <row r="3647">
          <cell r="B3647">
            <v>2025470300003</v>
          </cell>
          <cell r="BP3647">
            <v>100</v>
          </cell>
        </row>
        <row r="3648">
          <cell r="B3648">
            <v>20241301010301</v>
          </cell>
          <cell r="BP3648">
            <v>100</v>
          </cell>
        </row>
        <row r="3649">
          <cell r="B3649">
            <v>2025002470009</v>
          </cell>
          <cell r="BP3649">
            <v>69.599999999999994</v>
          </cell>
        </row>
        <row r="3650">
          <cell r="B3650">
            <v>2025470530004</v>
          </cell>
          <cell r="BP3650">
            <v>100</v>
          </cell>
        </row>
        <row r="3651">
          <cell r="B3651">
            <v>2025470530005</v>
          </cell>
          <cell r="BP3651">
            <v>88.4</v>
          </cell>
        </row>
        <row r="3652">
          <cell r="B3652">
            <v>2025470580006</v>
          </cell>
          <cell r="BP3652">
            <v>100</v>
          </cell>
        </row>
        <row r="3653">
          <cell r="B3653">
            <v>2025470580002</v>
          </cell>
          <cell r="BP3653">
            <v>90</v>
          </cell>
        </row>
        <row r="3654">
          <cell r="B3654">
            <v>2025470580004</v>
          </cell>
          <cell r="BP3654">
            <v>43.8</v>
          </cell>
        </row>
        <row r="3655">
          <cell r="B3655">
            <v>2018471610004</v>
          </cell>
          <cell r="BP3655">
            <v>36.5</v>
          </cell>
        </row>
        <row r="3656">
          <cell r="B3656">
            <v>2021471610002</v>
          </cell>
          <cell r="BP3656">
            <v>0</v>
          </cell>
        </row>
        <row r="3657">
          <cell r="B3657">
            <v>2026471610001</v>
          </cell>
          <cell r="BP3657">
            <v>100</v>
          </cell>
        </row>
        <row r="3658">
          <cell r="B3658">
            <v>2025471700004</v>
          </cell>
          <cell r="BP3658">
            <v>0</v>
          </cell>
        </row>
        <row r="3659">
          <cell r="B3659">
            <v>2025471700006</v>
          </cell>
          <cell r="BP3659">
            <v>0</v>
          </cell>
        </row>
        <row r="3660">
          <cell r="B3660">
            <v>2025471700001</v>
          </cell>
          <cell r="BP3660">
            <v>100</v>
          </cell>
        </row>
        <row r="3661">
          <cell r="B3661">
            <v>2025471700008</v>
          </cell>
          <cell r="BP3661">
            <v>100</v>
          </cell>
        </row>
        <row r="3662">
          <cell r="B3662">
            <v>2026471700001</v>
          </cell>
          <cell r="BP3662">
            <v>100</v>
          </cell>
        </row>
        <row r="3663">
          <cell r="B3663">
            <v>2025471700007</v>
          </cell>
          <cell r="BP3663">
            <v>22.4</v>
          </cell>
        </row>
        <row r="3664">
          <cell r="B3664" t="str">
            <v>2025N010630001</v>
          </cell>
          <cell r="BP3664">
            <v>100</v>
          </cell>
        </row>
        <row r="3665">
          <cell r="B3665">
            <v>2025471890014</v>
          </cell>
          <cell r="BP3665">
            <v>89</v>
          </cell>
        </row>
        <row r="3666">
          <cell r="B3666">
            <v>2023471890089</v>
          </cell>
          <cell r="BP3666">
            <v>44.5</v>
          </cell>
        </row>
        <row r="3667">
          <cell r="B3667">
            <v>20201301011744</v>
          </cell>
          <cell r="BP3667">
            <v>50</v>
          </cell>
        </row>
        <row r="3668">
          <cell r="B3668">
            <v>20201301011863</v>
          </cell>
          <cell r="BP3668">
            <v>0</v>
          </cell>
        </row>
        <row r="3669">
          <cell r="B3669">
            <v>2025471890024</v>
          </cell>
          <cell r="BP3669">
            <v>22</v>
          </cell>
        </row>
        <row r="3670">
          <cell r="B3670">
            <v>2025471890038</v>
          </cell>
          <cell r="BP3670">
            <v>100</v>
          </cell>
        </row>
        <row r="3671">
          <cell r="B3671">
            <v>2025471890017</v>
          </cell>
          <cell r="BP3671">
            <v>32</v>
          </cell>
        </row>
        <row r="3672">
          <cell r="B3672">
            <v>20211301010411</v>
          </cell>
          <cell r="BP3672">
            <v>60</v>
          </cell>
        </row>
        <row r="3673">
          <cell r="B3673">
            <v>2023471890110</v>
          </cell>
          <cell r="BP3673">
            <v>16.5</v>
          </cell>
        </row>
        <row r="3674">
          <cell r="B3674">
            <v>2024471890071</v>
          </cell>
          <cell r="BP3674">
            <v>50</v>
          </cell>
        </row>
        <row r="3675">
          <cell r="B3675">
            <v>2024471890100</v>
          </cell>
          <cell r="BP3675">
            <v>80</v>
          </cell>
        </row>
        <row r="3676">
          <cell r="B3676">
            <v>2025471890007</v>
          </cell>
          <cell r="BP3676">
            <v>100</v>
          </cell>
        </row>
        <row r="3677">
          <cell r="B3677">
            <v>2025471890010</v>
          </cell>
          <cell r="BP3677">
            <v>93.2</v>
          </cell>
        </row>
        <row r="3678">
          <cell r="B3678">
            <v>2025471890012</v>
          </cell>
          <cell r="BP3678">
            <v>100</v>
          </cell>
        </row>
        <row r="3679">
          <cell r="B3679">
            <v>2025471890025</v>
          </cell>
          <cell r="BP3679">
            <v>41.6</v>
          </cell>
        </row>
        <row r="3680">
          <cell r="B3680">
            <v>2025471890026</v>
          </cell>
          <cell r="BP3680">
            <v>50</v>
          </cell>
        </row>
        <row r="3681">
          <cell r="B3681">
            <v>2025471890034</v>
          </cell>
          <cell r="BP3681">
            <v>40</v>
          </cell>
        </row>
        <row r="3682">
          <cell r="B3682">
            <v>2026471890001</v>
          </cell>
          <cell r="BP3682">
            <v>40</v>
          </cell>
        </row>
        <row r="3683">
          <cell r="B3683">
            <v>2025471890018</v>
          </cell>
          <cell r="BP3683">
            <v>0</v>
          </cell>
        </row>
        <row r="3684">
          <cell r="B3684">
            <v>2023472050024</v>
          </cell>
          <cell r="BP3684">
            <v>36.799999999999997</v>
          </cell>
        </row>
        <row r="3685">
          <cell r="B3685">
            <v>2023472450015</v>
          </cell>
          <cell r="BP3685">
            <v>0</v>
          </cell>
        </row>
        <row r="3686">
          <cell r="B3686">
            <v>2025472450002</v>
          </cell>
          <cell r="BP3686">
            <v>100</v>
          </cell>
        </row>
        <row r="3687">
          <cell r="B3687">
            <v>2025472580001</v>
          </cell>
          <cell r="BP3687">
            <v>92</v>
          </cell>
        </row>
        <row r="3688">
          <cell r="B3688">
            <v>2025472580004</v>
          </cell>
          <cell r="BP3688">
            <v>89</v>
          </cell>
        </row>
        <row r="3689">
          <cell r="B3689">
            <v>2024472680057</v>
          </cell>
          <cell r="BP3689">
            <v>0</v>
          </cell>
        </row>
        <row r="3690">
          <cell r="B3690">
            <v>2025472680002</v>
          </cell>
          <cell r="BP3690">
            <v>100</v>
          </cell>
        </row>
        <row r="3691">
          <cell r="B3691">
            <v>2025472680003</v>
          </cell>
          <cell r="BP3691">
            <v>60</v>
          </cell>
        </row>
        <row r="3692">
          <cell r="B3692">
            <v>2025472880006</v>
          </cell>
          <cell r="BP3692">
            <v>100</v>
          </cell>
        </row>
        <row r="3693">
          <cell r="B3693">
            <v>2025472880001</v>
          </cell>
          <cell r="BP3693">
            <v>20</v>
          </cell>
        </row>
        <row r="3694">
          <cell r="B3694">
            <v>2025472880003</v>
          </cell>
          <cell r="BP3694">
            <v>100</v>
          </cell>
        </row>
        <row r="3695">
          <cell r="B3695">
            <v>2025472880004</v>
          </cell>
          <cell r="BP3695">
            <v>0</v>
          </cell>
        </row>
        <row r="3696">
          <cell r="B3696">
            <v>2025473180004</v>
          </cell>
          <cell r="BP3696">
            <v>0</v>
          </cell>
        </row>
        <row r="3697">
          <cell r="B3697">
            <v>2025473180003</v>
          </cell>
          <cell r="BP3697">
            <v>62.8</v>
          </cell>
        </row>
        <row r="3698">
          <cell r="B3698">
            <v>2020000100569</v>
          </cell>
          <cell r="BP3698">
            <v>89</v>
          </cell>
        </row>
        <row r="3699">
          <cell r="B3699">
            <v>2019000020104</v>
          </cell>
          <cell r="BP3699">
            <v>36.9</v>
          </cell>
        </row>
        <row r="3700">
          <cell r="B3700">
            <v>2013000020048</v>
          </cell>
          <cell r="BP3700">
            <v>100</v>
          </cell>
        </row>
        <row r="3701">
          <cell r="B3701">
            <v>2018000020060</v>
          </cell>
          <cell r="BP3701">
            <v>100</v>
          </cell>
        </row>
        <row r="3702">
          <cell r="B3702">
            <v>2020000100121</v>
          </cell>
          <cell r="BP3702">
            <v>100</v>
          </cell>
        </row>
        <row r="3703">
          <cell r="B3703">
            <v>2021000100177</v>
          </cell>
          <cell r="BP3703">
            <v>100</v>
          </cell>
        </row>
        <row r="3704">
          <cell r="B3704">
            <v>2021002470060</v>
          </cell>
          <cell r="BP3704">
            <v>40</v>
          </cell>
        </row>
        <row r="3705">
          <cell r="B3705">
            <v>2021002470069</v>
          </cell>
          <cell r="BP3705">
            <v>100</v>
          </cell>
        </row>
        <row r="3706">
          <cell r="B3706">
            <v>2021002470071</v>
          </cell>
          <cell r="BP3706">
            <v>100</v>
          </cell>
        </row>
        <row r="3707">
          <cell r="B3707">
            <v>2021002470076</v>
          </cell>
          <cell r="BP3707">
            <v>63</v>
          </cell>
        </row>
        <row r="3708">
          <cell r="B3708">
            <v>2022000020037</v>
          </cell>
          <cell r="BP3708">
            <v>100</v>
          </cell>
        </row>
        <row r="3709">
          <cell r="B3709">
            <v>2022002470060</v>
          </cell>
          <cell r="BP3709">
            <v>100</v>
          </cell>
        </row>
        <row r="3710">
          <cell r="B3710">
            <v>2022002470083</v>
          </cell>
          <cell r="BP3710">
            <v>100</v>
          </cell>
        </row>
        <row r="3711">
          <cell r="B3711">
            <v>2023000020028</v>
          </cell>
          <cell r="BP3711">
            <v>87</v>
          </cell>
        </row>
        <row r="3712">
          <cell r="B3712">
            <v>2023002470089</v>
          </cell>
          <cell r="BP3712">
            <v>100</v>
          </cell>
        </row>
        <row r="3713">
          <cell r="B3713">
            <v>2024002470033</v>
          </cell>
          <cell r="BP3713">
            <v>100</v>
          </cell>
        </row>
        <row r="3714">
          <cell r="B3714">
            <v>2024002470093</v>
          </cell>
          <cell r="BP3714">
            <v>100</v>
          </cell>
        </row>
        <row r="3715">
          <cell r="B3715">
            <v>2025000020027</v>
          </cell>
          <cell r="BP3715">
            <v>64.400000000000006</v>
          </cell>
        </row>
        <row r="3716">
          <cell r="B3716">
            <v>2025002470001</v>
          </cell>
          <cell r="BP3716">
            <v>0</v>
          </cell>
        </row>
        <row r="3717">
          <cell r="B3717">
            <v>2025002470002</v>
          </cell>
          <cell r="BP3717">
            <v>100</v>
          </cell>
        </row>
        <row r="3718">
          <cell r="B3718">
            <v>2025002470007</v>
          </cell>
          <cell r="BP3718">
            <v>100</v>
          </cell>
        </row>
        <row r="3719">
          <cell r="B3719">
            <v>2025002470008</v>
          </cell>
          <cell r="BP3719">
            <v>40.4</v>
          </cell>
        </row>
        <row r="3720">
          <cell r="B3720">
            <v>2025002470023</v>
          </cell>
          <cell r="BP3720">
            <v>100</v>
          </cell>
        </row>
        <row r="3721">
          <cell r="B3721">
            <v>2025002470030</v>
          </cell>
          <cell r="BP3721">
            <v>100</v>
          </cell>
        </row>
        <row r="3722">
          <cell r="B3722">
            <v>2024002470114</v>
          </cell>
          <cell r="BP3722">
            <v>30</v>
          </cell>
        </row>
        <row r="3723">
          <cell r="B3723">
            <v>2024002470115</v>
          </cell>
          <cell r="BP3723">
            <v>0</v>
          </cell>
        </row>
        <row r="3724">
          <cell r="B3724">
            <v>2025002470005</v>
          </cell>
          <cell r="BP3724">
            <v>90.4</v>
          </cell>
        </row>
        <row r="3725">
          <cell r="B3725">
            <v>2025002470010</v>
          </cell>
          <cell r="BP3725">
            <v>76.8</v>
          </cell>
        </row>
        <row r="3726">
          <cell r="B3726">
            <v>2025002470014</v>
          </cell>
          <cell r="BP3726">
            <v>46.4</v>
          </cell>
        </row>
        <row r="3727">
          <cell r="B3727">
            <v>2025002470015</v>
          </cell>
          <cell r="BP3727">
            <v>100</v>
          </cell>
        </row>
        <row r="3728">
          <cell r="B3728">
            <v>2025002470016</v>
          </cell>
          <cell r="BP3728">
            <v>100</v>
          </cell>
        </row>
        <row r="3729">
          <cell r="B3729">
            <v>2025002470018</v>
          </cell>
          <cell r="BP3729">
            <v>64.400000000000006</v>
          </cell>
        </row>
        <row r="3730">
          <cell r="B3730">
            <v>2025002470019</v>
          </cell>
          <cell r="BP3730">
            <v>100</v>
          </cell>
        </row>
        <row r="3731">
          <cell r="B3731">
            <v>2025002470020</v>
          </cell>
          <cell r="BP3731">
            <v>100</v>
          </cell>
        </row>
        <row r="3732">
          <cell r="B3732">
            <v>2025002470021</v>
          </cell>
          <cell r="BP3732">
            <v>24</v>
          </cell>
        </row>
        <row r="3733">
          <cell r="B3733">
            <v>2025002470022</v>
          </cell>
          <cell r="BP3733">
            <v>89.2</v>
          </cell>
        </row>
        <row r="3734">
          <cell r="B3734">
            <v>2025002470025</v>
          </cell>
          <cell r="BP3734">
            <v>89</v>
          </cell>
        </row>
        <row r="3735">
          <cell r="B3735">
            <v>2025002470026</v>
          </cell>
          <cell r="BP3735">
            <v>0</v>
          </cell>
        </row>
        <row r="3736">
          <cell r="B3736">
            <v>2025002470027</v>
          </cell>
          <cell r="BP3736">
            <v>100</v>
          </cell>
        </row>
        <row r="3737">
          <cell r="B3737">
            <v>2025002470031</v>
          </cell>
          <cell r="BP3737">
            <v>100</v>
          </cell>
        </row>
        <row r="3738">
          <cell r="B3738">
            <v>2025002470034</v>
          </cell>
          <cell r="BP3738">
            <v>0</v>
          </cell>
        </row>
        <row r="3739">
          <cell r="B3739">
            <v>2025002470036</v>
          </cell>
          <cell r="BP3739">
            <v>100</v>
          </cell>
        </row>
        <row r="3740">
          <cell r="B3740">
            <v>2020000100404</v>
          </cell>
          <cell r="BP3740">
            <v>100</v>
          </cell>
        </row>
        <row r="3741">
          <cell r="B3741">
            <v>2020000020069</v>
          </cell>
          <cell r="BP3741">
            <v>45</v>
          </cell>
        </row>
        <row r="3742">
          <cell r="B3742">
            <v>2020000100193</v>
          </cell>
          <cell r="BP3742">
            <v>44.5</v>
          </cell>
        </row>
        <row r="3743">
          <cell r="B3743">
            <v>2019000100048</v>
          </cell>
          <cell r="BP3743">
            <v>53</v>
          </cell>
        </row>
        <row r="3744">
          <cell r="B3744">
            <v>2020000100480</v>
          </cell>
          <cell r="BP3744">
            <v>80</v>
          </cell>
        </row>
        <row r="3745">
          <cell r="B3745">
            <v>2022000100019</v>
          </cell>
          <cell r="BP3745">
            <v>60</v>
          </cell>
        </row>
        <row r="3746">
          <cell r="B3746">
            <v>2024000100047</v>
          </cell>
          <cell r="BP3746">
            <v>40</v>
          </cell>
        </row>
        <row r="3747">
          <cell r="B3747">
            <v>2025474600002</v>
          </cell>
          <cell r="BP3747">
            <v>100</v>
          </cell>
        </row>
        <row r="3748">
          <cell r="B3748">
            <v>2025475450003</v>
          </cell>
          <cell r="BP3748">
            <v>100</v>
          </cell>
        </row>
        <row r="3749">
          <cell r="B3749">
            <v>2025475450004</v>
          </cell>
          <cell r="BP3749">
            <v>100</v>
          </cell>
        </row>
        <row r="3750">
          <cell r="B3750">
            <v>2025002470003</v>
          </cell>
          <cell r="BP3750">
            <v>43.4</v>
          </cell>
        </row>
        <row r="3751">
          <cell r="B3751">
            <v>2025475510001</v>
          </cell>
          <cell r="BP3751">
            <v>35.6</v>
          </cell>
        </row>
        <row r="3752">
          <cell r="B3752">
            <v>2023475550001</v>
          </cell>
          <cell r="BP3752">
            <v>29.7</v>
          </cell>
        </row>
        <row r="3753">
          <cell r="B3753">
            <v>2023475550003</v>
          </cell>
          <cell r="BP3753">
            <v>8</v>
          </cell>
        </row>
        <row r="3754">
          <cell r="B3754">
            <v>2025475550001</v>
          </cell>
          <cell r="BP3754">
            <v>100</v>
          </cell>
        </row>
        <row r="3755">
          <cell r="B3755">
            <v>2025475550003</v>
          </cell>
          <cell r="BP3755">
            <v>66.400000000000006</v>
          </cell>
        </row>
        <row r="3756">
          <cell r="B3756">
            <v>2026475550001</v>
          </cell>
          <cell r="BP3756">
            <v>100</v>
          </cell>
        </row>
        <row r="3757">
          <cell r="B3757">
            <v>2026475550002</v>
          </cell>
          <cell r="BP3757">
            <v>100</v>
          </cell>
        </row>
        <row r="3758">
          <cell r="B3758">
            <v>2026475550003</v>
          </cell>
          <cell r="BP3758">
            <v>100</v>
          </cell>
        </row>
        <row r="3759">
          <cell r="B3759" t="str">
            <v>2025N000270001</v>
          </cell>
          <cell r="BP3759">
            <v>82.4</v>
          </cell>
        </row>
        <row r="3760">
          <cell r="B3760">
            <v>2025475700001</v>
          </cell>
          <cell r="BP3760">
            <v>66.400000000000006</v>
          </cell>
        </row>
        <row r="3761">
          <cell r="B3761">
            <v>2025475700002</v>
          </cell>
          <cell r="BP3761">
            <v>100</v>
          </cell>
        </row>
        <row r="3762">
          <cell r="B3762">
            <v>2025475700003</v>
          </cell>
          <cell r="BP3762">
            <v>0</v>
          </cell>
        </row>
        <row r="3763">
          <cell r="B3763">
            <v>2025475700004</v>
          </cell>
          <cell r="BP3763">
            <v>85.6</v>
          </cell>
        </row>
        <row r="3764">
          <cell r="B3764">
            <v>2023475700024</v>
          </cell>
          <cell r="BP3764">
            <v>0</v>
          </cell>
        </row>
        <row r="3765">
          <cell r="B3765">
            <v>2023475700040</v>
          </cell>
          <cell r="BP3765">
            <v>0</v>
          </cell>
        </row>
        <row r="3766">
          <cell r="B3766">
            <v>2025476050001</v>
          </cell>
          <cell r="BP3766">
            <v>85.8</v>
          </cell>
        </row>
        <row r="3767">
          <cell r="B3767">
            <v>2025476600001</v>
          </cell>
          <cell r="BP3767">
            <v>47</v>
          </cell>
        </row>
        <row r="3768">
          <cell r="B3768">
            <v>2023476600002</v>
          </cell>
          <cell r="BP3768">
            <v>0</v>
          </cell>
        </row>
        <row r="3769">
          <cell r="B3769">
            <v>2024476600001</v>
          </cell>
          <cell r="BP3769">
            <v>0</v>
          </cell>
        </row>
        <row r="3770">
          <cell r="B3770">
            <v>2024476750098</v>
          </cell>
          <cell r="BP3770">
            <v>45.5</v>
          </cell>
        </row>
        <row r="3771">
          <cell r="B3771">
            <v>2025476750006</v>
          </cell>
          <cell r="BP3771">
            <v>60</v>
          </cell>
        </row>
        <row r="3772">
          <cell r="B3772">
            <v>2025476750004</v>
          </cell>
          <cell r="BP3772">
            <v>30</v>
          </cell>
        </row>
        <row r="3773">
          <cell r="B3773">
            <v>2025476750005</v>
          </cell>
          <cell r="BP3773">
            <v>100</v>
          </cell>
        </row>
        <row r="3774">
          <cell r="B3774">
            <v>2025476920001</v>
          </cell>
          <cell r="BP3774">
            <v>0</v>
          </cell>
        </row>
        <row r="3775">
          <cell r="B3775">
            <v>2025476920002</v>
          </cell>
          <cell r="BP3775">
            <v>100</v>
          </cell>
        </row>
        <row r="3776">
          <cell r="B3776">
            <v>2025476920004</v>
          </cell>
          <cell r="BP3776">
            <v>91.2</v>
          </cell>
        </row>
        <row r="3777">
          <cell r="B3777">
            <v>2025477070001</v>
          </cell>
          <cell r="BP3777">
            <v>16</v>
          </cell>
        </row>
        <row r="3778">
          <cell r="B3778">
            <v>2025477200002</v>
          </cell>
          <cell r="BP3778">
            <v>0</v>
          </cell>
        </row>
        <row r="3779">
          <cell r="B3779">
            <v>2025477200003</v>
          </cell>
          <cell r="BP3779">
            <v>58</v>
          </cell>
        </row>
        <row r="3780">
          <cell r="B3780" t="str">
            <v>2025N009410002</v>
          </cell>
          <cell r="BP3780">
            <v>24</v>
          </cell>
        </row>
        <row r="3781">
          <cell r="B3781">
            <v>2020470010080</v>
          </cell>
          <cell r="BP3781">
            <v>0</v>
          </cell>
        </row>
        <row r="3782">
          <cell r="B3782">
            <v>2022470010037</v>
          </cell>
          <cell r="BP3782">
            <v>0</v>
          </cell>
        </row>
        <row r="3783">
          <cell r="B3783">
            <v>2025470010004</v>
          </cell>
          <cell r="BP3783">
            <v>0</v>
          </cell>
        </row>
        <row r="3784">
          <cell r="B3784">
            <v>2025470010006</v>
          </cell>
          <cell r="BP3784">
            <v>90.4</v>
          </cell>
        </row>
        <row r="3785">
          <cell r="B3785">
            <v>2022470010001</v>
          </cell>
          <cell r="BP3785">
            <v>0</v>
          </cell>
        </row>
        <row r="3786">
          <cell r="B3786">
            <v>2025470010002</v>
          </cell>
          <cell r="BP3786">
            <v>100</v>
          </cell>
        </row>
        <row r="3787">
          <cell r="B3787">
            <v>2024477450034</v>
          </cell>
          <cell r="BP3787">
            <v>45.5</v>
          </cell>
        </row>
        <row r="3788">
          <cell r="B3788">
            <v>2025477450002</v>
          </cell>
          <cell r="BP3788">
            <v>30</v>
          </cell>
        </row>
        <row r="3789">
          <cell r="B3789">
            <v>2025477450003</v>
          </cell>
          <cell r="BP3789">
            <v>41</v>
          </cell>
        </row>
        <row r="3790">
          <cell r="B3790">
            <v>2025477980004</v>
          </cell>
          <cell r="BP3790">
            <v>0</v>
          </cell>
        </row>
        <row r="3791">
          <cell r="B3791">
            <v>2025479600004</v>
          </cell>
          <cell r="BP3791">
            <v>100</v>
          </cell>
        </row>
        <row r="3792">
          <cell r="B3792">
            <v>2025479600005</v>
          </cell>
          <cell r="BP3792">
            <v>60</v>
          </cell>
        </row>
        <row r="3793">
          <cell r="B3793">
            <v>2024479800031</v>
          </cell>
          <cell r="BP3793">
            <v>42</v>
          </cell>
        </row>
        <row r="3794">
          <cell r="B3794">
            <v>2024479800053</v>
          </cell>
          <cell r="BP3794">
            <v>42</v>
          </cell>
        </row>
        <row r="3795">
          <cell r="B3795">
            <v>2025479800001</v>
          </cell>
          <cell r="BP3795">
            <v>100</v>
          </cell>
        </row>
        <row r="3796">
          <cell r="B3796">
            <v>2025479800003</v>
          </cell>
          <cell r="BP3796">
            <v>100</v>
          </cell>
        </row>
        <row r="3797">
          <cell r="B3797">
            <v>2024479800072</v>
          </cell>
          <cell r="BP3797">
            <v>78.8</v>
          </cell>
        </row>
        <row r="3798">
          <cell r="B3798" t="str">
            <v>2023N001200001</v>
          </cell>
          <cell r="BP3798">
            <v>100</v>
          </cell>
        </row>
        <row r="3799">
          <cell r="B3799" t="str">
            <v>2025N006740002</v>
          </cell>
          <cell r="BP3799">
            <v>60</v>
          </cell>
        </row>
        <row r="3800">
          <cell r="B3800">
            <v>2022500060002</v>
          </cell>
          <cell r="BP3800">
            <v>14.8</v>
          </cell>
        </row>
        <row r="3801">
          <cell r="B3801">
            <v>2022500060026</v>
          </cell>
          <cell r="BP3801">
            <v>16.8</v>
          </cell>
        </row>
        <row r="3802">
          <cell r="B3802">
            <v>2023500060009</v>
          </cell>
          <cell r="BP3802">
            <v>0</v>
          </cell>
        </row>
        <row r="3803">
          <cell r="B3803">
            <v>2023500060017</v>
          </cell>
          <cell r="BP3803">
            <v>7.6</v>
          </cell>
        </row>
        <row r="3804">
          <cell r="B3804">
            <v>2023500060020</v>
          </cell>
          <cell r="BP3804">
            <v>0</v>
          </cell>
        </row>
        <row r="3805">
          <cell r="B3805">
            <v>2023500060022</v>
          </cell>
          <cell r="BP3805">
            <v>3.6</v>
          </cell>
        </row>
        <row r="3806">
          <cell r="B3806">
            <v>2023500060025</v>
          </cell>
          <cell r="BP3806">
            <v>0</v>
          </cell>
        </row>
        <row r="3807">
          <cell r="B3807">
            <v>2025500060002</v>
          </cell>
          <cell r="BP3807">
            <v>100</v>
          </cell>
        </row>
        <row r="3808">
          <cell r="B3808">
            <v>2025500060003</v>
          </cell>
          <cell r="BP3808">
            <v>79.599999999999994</v>
          </cell>
        </row>
        <row r="3809">
          <cell r="B3809">
            <v>2025500060004</v>
          </cell>
          <cell r="BP3809">
            <v>100</v>
          </cell>
        </row>
        <row r="3810">
          <cell r="B3810">
            <v>2025500060005</v>
          </cell>
          <cell r="BP3810">
            <v>100</v>
          </cell>
        </row>
        <row r="3811">
          <cell r="B3811">
            <v>2025500060006</v>
          </cell>
          <cell r="BP3811">
            <v>100</v>
          </cell>
        </row>
        <row r="3812">
          <cell r="B3812">
            <v>2025500060008</v>
          </cell>
          <cell r="BP3812">
            <v>53.4</v>
          </cell>
        </row>
        <row r="3813">
          <cell r="B3813">
            <v>2021500060014</v>
          </cell>
          <cell r="BP3813">
            <v>39.5</v>
          </cell>
        </row>
        <row r="3814">
          <cell r="B3814">
            <v>2022500060031</v>
          </cell>
          <cell r="BP3814">
            <v>0</v>
          </cell>
        </row>
        <row r="3815">
          <cell r="B3815">
            <v>2022500060034</v>
          </cell>
          <cell r="BP3815">
            <v>44.5</v>
          </cell>
        </row>
        <row r="3816">
          <cell r="B3816">
            <v>2023500060004</v>
          </cell>
          <cell r="BP3816">
            <v>100</v>
          </cell>
        </row>
        <row r="3817">
          <cell r="B3817">
            <v>2025500060001</v>
          </cell>
          <cell r="BP3817">
            <v>50</v>
          </cell>
        </row>
        <row r="3818">
          <cell r="B3818">
            <v>2020501100101</v>
          </cell>
          <cell r="BP3818">
            <v>79.599999999999994</v>
          </cell>
        </row>
        <row r="3819">
          <cell r="B3819">
            <v>2023501100007</v>
          </cell>
          <cell r="BP3819">
            <v>0</v>
          </cell>
        </row>
        <row r="3820">
          <cell r="B3820" t="str">
            <v>2025N010140001</v>
          </cell>
          <cell r="BP3820">
            <v>53.4</v>
          </cell>
        </row>
        <row r="3821">
          <cell r="B3821">
            <v>2025501240008</v>
          </cell>
          <cell r="BP3821">
            <v>92</v>
          </cell>
        </row>
        <row r="3822">
          <cell r="B3822">
            <v>2024501240090</v>
          </cell>
          <cell r="BP3822">
            <v>100</v>
          </cell>
        </row>
        <row r="3823">
          <cell r="B3823">
            <v>2024501240098</v>
          </cell>
          <cell r="BP3823">
            <v>76</v>
          </cell>
        </row>
        <row r="3824">
          <cell r="B3824">
            <v>2025501240002</v>
          </cell>
          <cell r="BP3824">
            <v>50</v>
          </cell>
        </row>
        <row r="3825">
          <cell r="B3825">
            <v>2025501240007</v>
          </cell>
          <cell r="BP3825">
            <v>89</v>
          </cell>
        </row>
        <row r="3826">
          <cell r="B3826">
            <v>2021501240015</v>
          </cell>
          <cell r="BP3826">
            <v>8.9</v>
          </cell>
        </row>
        <row r="3827">
          <cell r="B3827">
            <v>2021501240168</v>
          </cell>
          <cell r="BP3827">
            <v>0</v>
          </cell>
        </row>
        <row r="3828">
          <cell r="B3828">
            <v>2023501240001</v>
          </cell>
          <cell r="BP3828">
            <v>11.1</v>
          </cell>
        </row>
        <row r="3829">
          <cell r="B3829">
            <v>2024501240070</v>
          </cell>
          <cell r="BP3829">
            <v>10</v>
          </cell>
        </row>
        <row r="3830">
          <cell r="B3830">
            <v>2024501240085</v>
          </cell>
          <cell r="BP3830">
            <v>100</v>
          </cell>
        </row>
        <row r="3831">
          <cell r="B3831">
            <v>2023501500007</v>
          </cell>
          <cell r="BP3831">
            <v>89</v>
          </cell>
        </row>
        <row r="3832">
          <cell r="B3832">
            <v>2023501500016</v>
          </cell>
          <cell r="BP3832">
            <v>89</v>
          </cell>
        </row>
        <row r="3833">
          <cell r="B3833">
            <v>2025501500001</v>
          </cell>
          <cell r="BP3833">
            <v>100</v>
          </cell>
        </row>
        <row r="3834">
          <cell r="B3834">
            <v>2025501500002</v>
          </cell>
          <cell r="BP3834">
            <v>100</v>
          </cell>
        </row>
        <row r="3835">
          <cell r="B3835">
            <v>2025501500003</v>
          </cell>
          <cell r="BP3835">
            <v>92.8</v>
          </cell>
        </row>
        <row r="3836">
          <cell r="B3836">
            <v>2025501500004</v>
          </cell>
          <cell r="BP3836">
            <v>100</v>
          </cell>
        </row>
        <row r="3837">
          <cell r="B3837">
            <v>2025501500007</v>
          </cell>
          <cell r="BP3837">
            <v>100</v>
          </cell>
        </row>
        <row r="3838">
          <cell r="B3838">
            <v>2025501500009</v>
          </cell>
          <cell r="BP3838">
            <v>50</v>
          </cell>
        </row>
        <row r="3839">
          <cell r="B3839">
            <v>2025501500011</v>
          </cell>
          <cell r="BP3839">
            <v>100</v>
          </cell>
        </row>
        <row r="3840">
          <cell r="B3840">
            <v>2025501500014</v>
          </cell>
          <cell r="BP3840">
            <v>100</v>
          </cell>
        </row>
        <row r="3841">
          <cell r="B3841">
            <v>2025501500015</v>
          </cell>
          <cell r="BP3841">
            <v>100</v>
          </cell>
        </row>
        <row r="3842">
          <cell r="B3842">
            <v>2023501500019</v>
          </cell>
          <cell r="BP3842">
            <v>100</v>
          </cell>
        </row>
        <row r="3843">
          <cell r="B3843">
            <v>2024501500018</v>
          </cell>
          <cell r="BP3843">
            <v>11</v>
          </cell>
        </row>
        <row r="3844">
          <cell r="B3844">
            <v>2024501500019</v>
          </cell>
          <cell r="BP3844">
            <v>40</v>
          </cell>
        </row>
        <row r="3845">
          <cell r="B3845">
            <v>2024501500072</v>
          </cell>
          <cell r="BP3845">
            <v>100</v>
          </cell>
        </row>
        <row r="3846">
          <cell r="B3846">
            <v>2025501500006</v>
          </cell>
          <cell r="BP3846">
            <v>100</v>
          </cell>
        </row>
        <row r="3847">
          <cell r="B3847">
            <v>2025501500010</v>
          </cell>
          <cell r="BP3847">
            <v>61.6</v>
          </cell>
        </row>
        <row r="3848">
          <cell r="B3848">
            <v>2025501500012</v>
          </cell>
          <cell r="BP3848">
            <v>67.599999999999994</v>
          </cell>
        </row>
        <row r="3849">
          <cell r="B3849">
            <v>2025501500013</v>
          </cell>
          <cell r="BP3849">
            <v>96</v>
          </cell>
        </row>
        <row r="3850">
          <cell r="B3850">
            <v>2025501500016</v>
          </cell>
          <cell r="BP3850">
            <v>100</v>
          </cell>
        </row>
        <row r="3851">
          <cell r="B3851">
            <v>2025501500017</v>
          </cell>
          <cell r="BP3851">
            <v>85.4</v>
          </cell>
        </row>
        <row r="3852">
          <cell r="B3852">
            <v>2021501500028</v>
          </cell>
          <cell r="BP3852">
            <v>60</v>
          </cell>
        </row>
        <row r="3853">
          <cell r="B3853">
            <v>2022501500011</v>
          </cell>
          <cell r="BP3853">
            <v>78.8</v>
          </cell>
        </row>
        <row r="3854">
          <cell r="B3854">
            <v>2025501500005</v>
          </cell>
          <cell r="BP3854">
            <v>100</v>
          </cell>
        </row>
        <row r="3855">
          <cell r="B3855">
            <v>20181301010230</v>
          </cell>
          <cell r="BP3855">
            <v>0</v>
          </cell>
        </row>
        <row r="3856">
          <cell r="B3856">
            <v>2025502450001</v>
          </cell>
          <cell r="BP3856">
            <v>20</v>
          </cell>
        </row>
        <row r="3857">
          <cell r="B3857">
            <v>20181301010856</v>
          </cell>
          <cell r="BP3857">
            <v>0</v>
          </cell>
        </row>
        <row r="3858">
          <cell r="B3858">
            <v>2025502510001</v>
          </cell>
          <cell r="BP3858">
            <v>99.2</v>
          </cell>
        </row>
        <row r="3859">
          <cell r="B3859">
            <v>2023502700022</v>
          </cell>
          <cell r="BP3859">
            <v>9.5</v>
          </cell>
        </row>
        <row r="3860">
          <cell r="B3860">
            <v>2025502700002</v>
          </cell>
          <cell r="BP3860">
            <v>100</v>
          </cell>
        </row>
        <row r="3861">
          <cell r="B3861">
            <v>2021502870007</v>
          </cell>
          <cell r="BP3861">
            <v>0</v>
          </cell>
        </row>
        <row r="3862">
          <cell r="B3862">
            <v>2023502870012</v>
          </cell>
          <cell r="BP3862">
            <v>12.5</v>
          </cell>
        </row>
        <row r="3863">
          <cell r="B3863">
            <v>2023503130078</v>
          </cell>
          <cell r="BP3863">
            <v>12</v>
          </cell>
        </row>
        <row r="3864">
          <cell r="B3864">
            <v>2018503130091</v>
          </cell>
          <cell r="BP3864">
            <v>31</v>
          </cell>
        </row>
        <row r="3865">
          <cell r="B3865">
            <v>2025503180001</v>
          </cell>
          <cell r="BP3865">
            <v>99.2</v>
          </cell>
        </row>
        <row r="3866">
          <cell r="B3866">
            <v>2025503180002</v>
          </cell>
          <cell r="BP3866">
            <v>94</v>
          </cell>
        </row>
        <row r="3867">
          <cell r="B3867">
            <v>2025503180003</v>
          </cell>
          <cell r="BP3867">
            <v>100</v>
          </cell>
        </row>
        <row r="3868">
          <cell r="B3868">
            <v>2025503180004</v>
          </cell>
          <cell r="BP3868">
            <v>96</v>
          </cell>
        </row>
        <row r="3869">
          <cell r="B3869">
            <v>2025503180005</v>
          </cell>
          <cell r="BP3869">
            <v>100</v>
          </cell>
        </row>
        <row r="3870">
          <cell r="B3870">
            <v>2025503180007</v>
          </cell>
          <cell r="BP3870">
            <v>60</v>
          </cell>
        </row>
        <row r="3871">
          <cell r="B3871">
            <v>2025503180008</v>
          </cell>
          <cell r="BP3871">
            <v>75.2</v>
          </cell>
        </row>
        <row r="3872">
          <cell r="B3872">
            <v>20221301010228</v>
          </cell>
          <cell r="BP3872">
            <v>50</v>
          </cell>
        </row>
        <row r="3873">
          <cell r="B3873">
            <v>20191301010371</v>
          </cell>
          <cell r="BP3873">
            <v>35</v>
          </cell>
        </row>
        <row r="3874">
          <cell r="B3874">
            <v>20211301011322</v>
          </cell>
          <cell r="BP3874">
            <v>76</v>
          </cell>
        </row>
        <row r="3875">
          <cell r="B3875">
            <v>2025503500003</v>
          </cell>
          <cell r="BP3875">
            <v>60</v>
          </cell>
        </row>
        <row r="3876">
          <cell r="B3876">
            <v>2025503500004</v>
          </cell>
          <cell r="BP3876">
            <v>90</v>
          </cell>
        </row>
        <row r="3877">
          <cell r="B3877">
            <v>2017000070054</v>
          </cell>
          <cell r="BP3877">
            <v>0</v>
          </cell>
        </row>
        <row r="3878">
          <cell r="B3878">
            <v>2023503700002</v>
          </cell>
          <cell r="BP3878">
            <v>12</v>
          </cell>
        </row>
        <row r="3879">
          <cell r="B3879">
            <v>2024503700051</v>
          </cell>
          <cell r="BP3879">
            <v>0</v>
          </cell>
        </row>
        <row r="3880">
          <cell r="B3880">
            <v>2025503700001</v>
          </cell>
          <cell r="BP3880">
            <v>0</v>
          </cell>
        </row>
        <row r="3881">
          <cell r="B3881">
            <v>2023504000002</v>
          </cell>
          <cell r="BP3881">
            <v>0</v>
          </cell>
        </row>
        <row r="3882">
          <cell r="B3882">
            <v>2023504000026</v>
          </cell>
          <cell r="BP3882">
            <v>67</v>
          </cell>
        </row>
        <row r="3883">
          <cell r="B3883">
            <v>2024504000032</v>
          </cell>
          <cell r="BP3883">
            <v>30</v>
          </cell>
        </row>
        <row r="3884">
          <cell r="B3884">
            <v>2024504000033</v>
          </cell>
          <cell r="BP3884">
            <v>43.8</v>
          </cell>
        </row>
        <row r="3885">
          <cell r="B3885">
            <v>2025504000001</v>
          </cell>
          <cell r="BP3885">
            <v>87.6</v>
          </cell>
        </row>
        <row r="3886">
          <cell r="B3886">
            <v>2025503300001</v>
          </cell>
          <cell r="BP3886">
            <v>100</v>
          </cell>
        </row>
        <row r="3887">
          <cell r="B3887">
            <v>2025503300002</v>
          </cell>
          <cell r="BP3887">
            <v>0</v>
          </cell>
        </row>
        <row r="3888">
          <cell r="B3888">
            <v>2014005500018</v>
          </cell>
          <cell r="BP3888">
            <v>50</v>
          </cell>
        </row>
        <row r="3889">
          <cell r="B3889">
            <v>2016005500026</v>
          </cell>
          <cell r="BP3889">
            <v>100</v>
          </cell>
        </row>
        <row r="3890">
          <cell r="B3890">
            <v>2016005500027</v>
          </cell>
          <cell r="BP3890">
            <v>50</v>
          </cell>
        </row>
        <row r="3891">
          <cell r="B3891">
            <v>2017005500002</v>
          </cell>
          <cell r="BP3891">
            <v>5.5</v>
          </cell>
        </row>
        <row r="3892">
          <cell r="B3892">
            <v>2017005500012</v>
          </cell>
          <cell r="BP3892">
            <v>100</v>
          </cell>
        </row>
        <row r="3893">
          <cell r="B3893">
            <v>2020005500209</v>
          </cell>
          <cell r="BP3893">
            <v>4</v>
          </cell>
        </row>
        <row r="3894">
          <cell r="B3894">
            <v>2021005500059</v>
          </cell>
          <cell r="BP3894">
            <v>41.2</v>
          </cell>
        </row>
        <row r="3895">
          <cell r="B3895">
            <v>2021005500192</v>
          </cell>
          <cell r="BP3895">
            <v>34.5</v>
          </cell>
        </row>
        <row r="3896">
          <cell r="B3896">
            <v>2021005500215</v>
          </cell>
          <cell r="BP3896">
            <v>26.7</v>
          </cell>
        </row>
        <row r="3897">
          <cell r="B3897">
            <v>2021005500293</v>
          </cell>
          <cell r="BP3897">
            <v>69</v>
          </cell>
        </row>
        <row r="3898">
          <cell r="B3898">
            <v>2021005500294</v>
          </cell>
          <cell r="BP3898">
            <v>100</v>
          </cell>
        </row>
        <row r="3899">
          <cell r="B3899">
            <v>2021005500296</v>
          </cell>
          <cell r="BP3899">
            <v>100</v>
          </cell>
        </row>
        <row r="3900">
          <cell r="B3900">
            <v>2021005500297</v>
          </cell>
          <cell r="BP3900">
            <v>100</v>
          </cell>
        </row>
        <row r="3901">
          <cell r="B3901">
            <v>2021005500298</v>
          </cell>
          <cell r="BP3901">
            <v>100</v>
          </cell>
        </row>
        <row r="3902">
          <cell r="B3902">
            <v>2021005500299</v>
          </cell>
          <cell r="BP3902">
            <v>100</v>
          </cell>
        </row>
        <row r="3903">
          <cell r="B3903">
            <v>2021005500302</v>
          </cell>
          <cell r="BP3903">
            <v>38.799999999999997</v>
          </cell>
        </row>
        <row r="3904">
          <cell r="B3904">
            <v>2021005500303</v>
          </cell>
          <cell r="BP3904">
            <v>100</v>
          </cell>
        </row>
        <row r="3905">
          <cell r="B3905">
            <v>2021005500304</v>
          </cell>
          <cell r="BP3905">
            <v>100</v>
          </cell>
        </row>
        <row r="3906">
          <cell r="B3906">
            <v>2021005500308</v>
          </cell>
          <cell r="BP3906">
            <v>82</v>
          </cell>
        </row>
        <row r="3907">
          <cell r="B3907">
            <v>2021005500309</v>
          </cell>
          <cell r="BP3907">
            <v>100</v>
          </cell>
        </row>
        <row r="3908">
          <cell r="B3908">
            <v>2021005500331</v>
          </cell>
          <cell r="BP3908">
            <v>100</v>
          </cell>
        </row>
        <row r="3909">
          <cell r="B3909">
            <v>20211301010352</v>
          </cell>
          <cell r="BP3909">
            <v>40</v>
          </cell>
        </row>
        <row r="3910">
          <cell r="B3910">
            <v>20211301010942</v>
          </cell>
          <cell r="BP3910">
            <v>100</v>
          </cell>
        </row>
        <row r="3911">
          <cell r="B3911">
            <v>20211301010978</v>
          </cell>
          <cell r="BP3911">
            <v>100</v>
          </cell>
        </row>
        <row r="3912">
          <cell r="B3912">
            <v>20211301012240</v>
          </cell>
          <cell r="BP3912">
            <v>19</v>
          </cell>
        </row>
        <row r="3913">
          <cell r="B3913">
            <v>2022005500001</v>
          </cell>
          <cell r="BP3913">
            <v>100</v>
          </cell>
        </row>
        <row r="3914">
          <cell r="B3914">
            <v>2022005500036</v>
          </cell>
          <cell r="BP3914">
            <v>100</v>
          </cell>
        </row>
        <row r="3915">
          <cell r="B3915">
            <v>2022005500050</v>
          </cell>
          <cell r="BP3915">
            <v>60</v>
          </cell>
        </row>
        <row r="3916">
          <cell r="B3916">
            <v>2022005500069</v>
          </cell>
          <cell r="BP3916">
            <v>45.2</v>
          </cell>
        </row>
        <row r="3917">
          <cell r="B3917">
            <v>2022005500113</v>
          </cell>
          <cell r="BP3917">
            <v>23</v>
          </cell>
        </row>
        <row r="3918">
          <cell r="B3918">
            <v>2022005500219</v>
          </cell>
          <cell r="BP3918">
            <v>58.7</v>
          </cell>
        </row>
        <row r="3919">
          <cell r="B3919">
            <v>2022005500226</v>
          </cell>
          <cell r="BP3919">
            <v>90</v>
          </cell>
        </row>
        <row r="3920">
          <cell r="B3920">
            <v>2022005500265</v>
          </cell>
          <cell r="BP3920">
            <v>100</v>
          </cell>
        </row>
        <row r="3921">
          <cell r="B3921">
            <v>2022005500304</v>
          </cell>
          <cell r="BP3921">
            <v>100</v>
          </cell>
        </row>
        <row r="3922">
          <cell r="B3922">
            <v>2022005500306</v>
          </cell>
          <cell r="BP3922">
            <v>90</v>
          </cell>
        </row>
        <row r="3923">
          <cell r="B3923">
            <v>2023005500043</v>
          </cell>
          <cell r="BP3923">
            <v>50</v>
          </cell>
        </row>
        <row r="3924">
          <cell r="B3924">
            <v>2023005500070</v>
          </cell>
          <cell r="BP3924">
            <v>100</v>
          </cell>
        </row>
        <row r="3925">
          <cell r="B3925">
            <v>2023005500084</v>
          </cell>
          <cell r="BP3925">
            <v>0</v>
          </cell>
        </row>
        <row r="3926">
          <cell r="B3926">
            <v>2023005500085</v>
          </cell>
          <cell r="BP3926">
            <v>38</v>
          </cell>
        </row>
        <row r="3927">
          <cell r="B3927">
            <v>2023005500086</v>
          </cell>
          <cell r="BP3927">
            <v>40.200000000000003</v>
          </cell>
        </row>
        <row r="3928">
          <cell r="B3928">
            <v>2023005500087</v>
          </cell>
          <cell r="BP3928">
            <v>20</v>
          </cell>
        </row>
        <row r="3929">
          <cell r="B3929">
            <v>2023005500307</v>
          </cell>
          <cell r="BP3929">
            <v>46.8</v>
          </cell>
        </row>
        <row r="3930">
          <cell r="B3930">
            <v>2024005500008</v>
          </cell>
          <cell r="BP3930">
            <v>100</v>
          </cell>
        </row>
        <row r="3931">
          <cell r="B3931">
            <v>2024005500269</v>
          </cell>
          <cell r="BP3931">
            <v>0</v>
          </cell>
        </row>
        <row r="3932">
          <cell r="B3932">
            <v>2025005500011</v>
          </cell>
          <cell r="BP3932">
            <v>78.8</v>
          </cell>
        </row>
        <row r="3933">
          <cell r="B3933">
            <v>2025005500031</v>
          </cell>
          <cell r="BP3933">
            <v>100</v>
          </cell>
        </row>
        <row r="3934">
          <cell r="B3934">
            <v>2025005500059</v>
          </cell>
          <cell r="BP3934">
            <v>95.6</v>
          </cell>
        </row>
        <row r="3935">
          <cell r="B3935" t="str">
            <v>2025M001690001</v>
          </cell>
          <cell r="BP3935">
            <v>89</v>
          </cell>
        </row>
        <row r="3936">
          <cell r="B3936" t="str">
            <v>2025M002620001</v>
          </cell>
          <cell r="BP3936">
            <v>100</v>
          </cell>
        </row>
        <row r="3937">
          <cell r="B3937" t="str">
            <v>2024N005850007</v>
          </cell>
          <cell r="BP3937">
            <v>89.6</v>
          </cell>
        </row>
        <row r="3938">
          <cell r="B3938" t="str">
            <v>2025N005850003</v>
          </cell>
          <cell r="BP3938">
            <v>100</v>
          </cell>
        </row>
        <row r="3939">
          <cell r="B3939" t="str">
            <v>2025N009720001</v>
          </cell>
          <cell r="BP3939">
            <v>89</v>
          </cell>
        </row>
        <row r="3940">
          <cell r="B3940" t="str">
            <v>2025N007550001</v>
          </cell>
          <cell r="BP3940">
            <v>0</v>
          </cell>
        </row>
        <row r="3941">
          <cell r="B3941" t="str">
            <v>2025N006970002</v>
          </cell>
          <cell r="BP3941">
            <v>100</v>
          </cell>
        </row>
        <row r="3942">
          <cell r="B3942" t="str">
            <v>2024N005850006</v>
          </cell>
          <cell r="BP3942">
            <v>100</v>
          </cell>
        </row>
        <row r="3943">
          <cell r="B3943" t="str">
            <v>2025N002630001</v>
          </cell>
          <cell r="BP3943">
            <v>89</v>
          </cell>
        </row>
        <row r="3944">
          <cell r="B3944" t="str">
            <v>2025N003180001</v>
          </cell>
          <cell r="BP3944">
            <v>0</v>
          </cell>
        </row>
        <row r="3945">
          <cell r="B3945">
            <v>2013005500049</v>
          </cell>
          <cell r="BP3945">
            <v>25.5</v>
          </cell>
        </row>
        <row r="3946">
          <cell r="B3946">
            <v>2015000100048</v>
          </cell>
          <cell r="BP3946">
            <v>23.5</v>
          </cell>
        </row>
        <row r="3947">
          <cell r="B3947">
            <v>2015005500001</v>
          </cell>
          <cell r="BP3947">
            <v>1</v>
          </cell>
        </row>
        <row r="3948">
          <cell r="B3948">
            <v>2018000100012</v>
          </cell>
          <cell r="BP3948">
            <v>30</v>
          </cell>
        </row>
        <row r="3949">
          <cell r="B3949">
            <v>2018005500272</v>
          </cell>
          <cell r="BP3949">
            <v>100</v>
          </cell>
        </row>
        <row r="3950">
          <cell r="B3950">
            <v>2018005500293</v>
          </cell>
          <cell r="BP3950">
            <v>100</v>
          </cell>
        </row>
        <row r="3951">
          <cell r="B3951">
            <v>2020005500202</v>
          </cell>
          <cell r="BP3951">
            <v>50</v>
          </cell>
        </row>
        <row r="3952">
          <cell r="B3952">
            <v>2020005500212</v>
          </cell>
          <cell r="BP3952">
            <v>100</v>
          </cell>
        </row>
        <row r="3953">
          <cell r="B3953">
            <v>2021005500040</v>
          </cell>
          <cell r="BP3953">
            <v>34.5</v>
          </cell>
        </row>
        <row r="3954">
          <cell r="B3954">
            <v>2021005500323</v>
          </cell>
          <cell r="BP3954">
            <v>100</v>
          </cell>
        </row>
        <row r="3955">
          <cell r="B3955">
            <v>2022005500014</v>
          </cell>
          <cell r="BP3955">
            <v>0</v>
          </cell>
        </row>
        <row r="3956">
          <cell r="B3956">
            <v>2022005500020</v>
          </cell>
          <cell r="BP3956">
            <v>40.6</v>
          </cell>
        </row>
        <row r="3957">
          <cell r="B3957">
            <v>2022005500021</v>
          </cell>
          <cell r="BP3957">
            <v>26.5</v>
          </cell>
        </row>
        <row r="3958">
          <cell r="B3958">
            <v>2022005500058</v>
          </cell>
          <cell r="BP3958">
            <v>17.100000000000001</v>
          </cell>
        </row>
        <row r="3959">
          <cell r="B3959">
            <v>2022005500083</v>
          </cell>
          <cell r="BP3959">
            <v>100</v>
          </cell>
        </row>
        <row r="3960">
          <cell r="B3960">
            <v>2022005500089</v>
          </cell>
          <cell r="BP3960">
            <v>50</v>
          </cell>
        </row>
        <row r="3961">
          <cell r="B3961">
            <v>2022005500120</v>
          </cell>
          <cell r="BP3961">
            <v>0</v>
          </cell>
        </row>
        <row r="3962">
          <cell r="B3962">
            <v>2023005500025</v>
          </cell>
          <cell r="BP3962">
            <v>0</v>
          </cell>
        </row>
        <row r="3963">
          <cell r="B3963">
            <v>2024005500039</v>
          </cell>
          <cell r="BP3963">
            <v>100</v>
          </cell>
        </row>
        <row r="3964">
          <cell r="B3964">
            <v>2024005500253</v>
          </cell>
          <cell r="BP3964">
            <v>100</v>
          </cell>
        </row>
        <row r="3965">
          <cell r="B3965">
            <v>2025005500003</v>
          </cell>
          <cell r="BP3965">
            <v>72.400000000000006</v>
          </cell>
        </row>
        <row r="3966">
          <cell r="B3966">
            <v>2025005500007</v>
          </cell>
          <cell r="BP3966">
            <v>100</v>
          </cell>
        </row>
        <row r="3967">
          <cell r="B3967">
            <v>2025005500012</v>
          </cell>
          <cell r="BP3967">
            <v>100</v>
          </cell>
        </row>
        <row r="3968">
          <cell r="B3968">
            <v>2025005500015</v>
          </cell>
          <cell r="BP3968">
            <v>100</v>
          </cell>
        </row>
        <row r="3969">
          <cell r="B3969">
            <v>2025005500016</v>
          </cell>
          <cell r="BP3969">
            <v>74.400000000000006</v>
          </cell>
        </row>
        <row r="3970">
          <cell r="B3970">
            <v>2025005500030</v>
          </cell>
          <cell r="BP3970">
            <v>100</v>
          </cell>
        </row>
        <row r="3971">
          <cell r="B3971">
            <v>2025005500045</v>
          </cell>
          <cell r="BP3971">
            <v>60</v>
          </cell>
        </row>
        <row r="3972">
          <cell r="B3972">
            <v>2025005500062</v>
          </cell>
          <cell r="BP3972">
            <v>0</v>
          </cell>
        </row>
        <row r="3973">
          <cell r="B3973">
            <v>2025005500070</v>
          </cell>
          <cell r="BP3973">
            <v>100</v>
          </cell>
        </row>
        <row r="3974">
          <cell r="B3974">
            <v>2025005500073</v>
          </cell>
          <cell r="BP3974">
            <v>100</v>
          </cell>
        </row>
        <row r="3975">
          <cell r="B3975">
            <v>2025005500004</v>
          </cell>
          <cell r="BP3975">
            <v>85.8</v>
          </cell>
        </row>
        <row r="3976">
          <cell r="B3976">
            <v>2022005500055</v>
          </cell>
          <cell r="BP3976">
            <v>33.5</v>
          </cell>
        </row>
        <row r="3977">
          <cell r="B3977">
            <v>2022005500290</v>
          </cell>
          <cell r="BP3977">
            <v>100</v>
          </cell>
        </row>
        <row r="3978">
          <cell r="B3978">
            <v>2023005500038</v>
          </cell>
          <cell r="BP3978">
            <v>100</v>
          </cell>
        </row>
        <row r="3979">
          <cell r="B3979">
            <v>2023005500313</v>
          </cell>
          <cell r="BP3979">
            <v>100</v>
          </cell>
        </row>
        <row r="3980">
          <cell r="B3980">
            <v>2024005500028</v>
          </cell>
          <cell r="BP3980">
            <v>100</v>
          </cell>
        </row>
        <row r="3981">
          <cell r="B3981">
            <v>2024005500245</v>
          </cell>
          <cell r="BP3981">
            <v>100</v>
          </cell>
        </row>
        <row r="3982">
          <cell r="B3982">
            <v>2024005500260</v>
          </cell>
          <cell r="BP3982">
            <v>99.2</v>
          </cell>
        </row>
        <row r="3983">
          <cell r="B3983">
            <v>2024005500273</v>
          </cell>
          <cell r="BP3983">
            <v>0</v>
          </cell>
        </row>
        <row r="3984">
          <cell r="B3984">
            <v>2024005500277</v>
          </cell>
          <cell r="BP3984">
            <v>100</v>
          </cell>
        </row>
        <row r="3985">
          <cell r="B3985">
            <v>2024005500281</v>
          </cell>
          <cell r="BP3985">
            <v>86.8</v>
          </cell>
        </row>
        <row r="3986">
          <cell r="B3986">
            <v>2025005500006</v>
          </cell>
          <cell r="BP3986">
            <v>89.2</v>
          </cell>
        </row>
        <row r="3987">
          <cell r="B3987">
            <v>2024005500264</v>
          </cell>
          <cell r="BP3987">
            <v>100</v>
          </cell>
        </row>
        <row r="3988">
          <cell r="B3988">
            <v>2024000100004</v>
          </cell>
          <cell r="BP3988">
            <v>100</v>
          </cell>
        </row>
        <row r="3989">
          <cell r="B3989" t="str">
            <v>2025N009780001</v>
          </cell>
          <cell r="BP3989">
            <v>89</v>
          </cell>
        </row>
        <row r="3990">
          <cell r="B3990" t="str">
            <v>2025N009780002</v>
          </cell>
          <cell r="BP3990">
            <v>44.1</v>
          </cell>
        </row>
        <row r="3991">
          <cell r="B3991">
            <v>2024005500252</v>
          </cell>
          <cell r="BP3991">
            <v>100</v>
          </cell>
        </row>
        <row r="3992">
          <cell r="B3992">
            <v>2022005500022</v>
          </cell>
          <cell r="BP3992">
            <v>90</v>
          </cell>
        </row>
        <row r="3993">
          <cell r="B3993">
            <v>2022005500024</v>
          </cell>
          <cell r="BP3993">
            <v>90</v>
          </cell>
        </row>
        <row r="3994">
          <cell r="B3994">
            <v>2022005500032</v>
          </cell>
          <cell r="BP3994">
            <v>90</v>
          </cell>
        </row>
        <row r="3995">
          <cell r="B3995">
            <v>2022005500037</v>
          </cell>
          <cell r="BP3995">
            <v>0</v>
          </cell>
        </row>
        <row r="3996">
          <cell r="B3996">
            <v>2022005500064</v>
          </cell>
          <cell r="BP3996">
            <v>9</v>
          </cell>
        </row>
        <row r="3997">
          <cell r="B3997">
            <v>2022005500071</v>
          </cell>
          <cell r="BP3997">
            <v>100</v>
          </cell>
        </row>
        <row r="3998">
          <cell r="B3998">
            <v>2022005500094</v>
          </cell>
          <cell r="BP3998">
            <v>100</v>
          </cell>
        </row>
        <row r="3999">
          <cell r="B3999">
            <v>2022005500307</v>
          </cell>
          <cell r="BP3999">
            <v>41</v>
          </cell>
        </row>
        <row r="4000">
          <cell r="B4000">
            <v>2023005500058</v>
          </cell>
          <cell r="BP4000">
            <v>50</v>
          </cell>
        </row>
        <row r="4001">
          <cell r="B4001">
            <v>2025005500079</v>
          </cell>
          <cell r="BP4001">
            <v>85.6</v>
          </cell>
        </row>
        <row r="4002">
          <cell r="B4002">
            <v>2022005500059</v>
          </cell>
          <cell r="BP4002">
            <v>49.6</v>
          </cell>
        </row>
        <row r="4003">
          <cell r="B4003">
            <v>2022005500060</v>
          </cell>
          <cell r="BP4003">
            <v>60</v>
          </cell>
        </row>
        <row r="4004">
          <cell r="B4004">
            <v>2022005500061</v>
          </cell>
          <cell r="BP4004">
            <v>50</v>
          </cell>
        </row>
        <row r="4005">
          <cell r="B4005">
            <v>2022005500067</v>
          </cell>
          <cell r="BP4005">
            <v>25.2</v>
          </cell>
        </row>
        <row r="4006">
          <cell r="B4006">
            <v>2022005500267</v>
          </cell>
          <cell r="BP4006">
            <v>90</v>
          </cell>
        </row>
        <row r="4007">
          <cell r="B4007">
            <v>2023005500107</v>
          </cell>
          <cell r="BP4007">
            <v>16.5</v>
          </cell>
        </row>
        <row r="4008">
          <cell r="B4008">
            <v>2023005500271</v>
          </cell>
          <cell r="BP4008">
            <v>30</v>
          </cell>
        </row>
        <row r="4009">
          <cell r="B4009">
            <v>2023005500298</v>
          </cell>
          <cell r="BP4009">
            <v>39.1</v>
          </cell>
        </row>
        <row r="4010">
          <cell r="B4010">
            <v>2025005500052</v>
          </cell>
          <cell r="BP4010">
            <v>60</v>
          </cell>
        </row>
        <row r="4011">
          <cell r="B4011">
            <v>2021000100508</v>
          </cell>
          <cell r="BP4011">
            <v>50</v>
          </cell>
        </row>
        <row r="4012">
          <cell r="B4012">
            <v>2022005500091</v>
          </cell>
          <cell r="BP4012">
            <v>90</v>
          </cell>
        </row>
        <row r="4013">
          <cell r="B4013">
            <v>2022005500259</v>
          </cell>
          <cell r="BP4013">
            <v>90</v>
          </cell>
        </row>
        <row r="4014">
          <cell r="B4014">
            <v>2018005500047</v>
          </cell>
          <cell r="BP4014">
            <v>5</v>
          </cell>
        </row>
        <row r="4015">
          <cell r="B4015">
            <v>2022005500281</v>
          </cell>
          <cell r="BP4015">
            <v>0</v>
          </cell>
        </row>
        <row r="4016">
          <cell r="B4016" t="str">
            <v>2025M004790002</v>
          </cell>
          <cell r="BP4016">
            <v>0</v>
          </cell>
        </row>
        <row r="4017">
          <cell r="B4017" t="str">
            <v>2025M002790004</v>
          </cell>
          <cell r="BP4017">
            <v>0</v>
          </cell>
        </row>
        <row r="4018">
          <cell r="B4018" t="str">
            <v>2025M002790005</v>
          </cell>
          <cell r="BP4018">
            <v>0</v>
          </cell>
        </row>
        <row r="4019">
          <cell r="B4019" t="str">
            <v>2025M001040005</v>
          </cell>
          <cell r="BP4019">
            <v>0</v>
          </cell>
        </row>
        <row r="4020">
          <cell r="B4020" t="str">
            <v>2024M000700007</v>
          </cell>
          <cell r="BP4020">
            <v>0</v>
          </cell>
        </row>
        <row r="4021">
          <cell r="B4021" t="str">
            <v>2023M000710004</v>
          </cell>
          <cell r="BP4021">
            <v>0</v>
          </cell>
        </row>
        <row r="4022">
          <cell r="B4022" t="str">
            <v>2025M000730003</v>
          </cell>
          <cell r="BP4022">
            <v>89</v>
          </cell>
        </row>
        <row r="4023">
          <cell r="B4023" t="str">
            <v>2025M002790001</v>
          </cell>
          <cell r="BP4023">
            <v>0</v>
          </cell>
        </row>
        <row r="4024">
          <cell r="B4024">
            <v>2021000100209</v>
          </cell>
          <cell r="BP4024">
            <v>88.4</v>
          </cell>
        </row>
        <row r="4025">
          <cell r="B4025">
            <v>2019000100057</v>
          </cell>
          <cell r="BP4025">
            <v>100</v>
          </cell>
        </row>
        <row r="4026">
          <cell r="B4026">
            <v>2020000100115</v>
          </cell>
          <cell r="BP4026">
            <v>50</v>
          </cell>
        </row>
        <row r="4027">
          <cell r="B4027">
            <v>2021000100100</v>
          </cell>
          <cell r="BP4027">
            <v>100</v>
          </cell>
        </row>
        <row r="4028">
          <cell r="B4028">
            <v>2021000100384</v>
          </cell>
          <cell r="BP4028">
            <v>97.2</v>
          </cell>
        </row>
        <row r="4029">
          <cell r="B4029">
            <v>2023005500030</v>
          </cell>
          <cell r="BP4029">
            <v>99.2</v>
          </cell>
        </row>
        <row r="4030">
          <cell r="B4030">
            <v>2023005500290</v>
          </cell>
          <cell r="BP4030">
            <v>100</v>
          </cell>
        </row>
        <row r="4031">
          <cell r="B4031">
            <v>2023005500305</v>
          </cell>
          <cell r="BP4031">
            <v>96.4</v>
          </cell>
        </row>
        <row r="4032">
          <cell r="B4032">
            <v>2025005500001</v>
          </cell>
          <cell r="BP4032">
            <v>60</v>
          </cell>
        </row>
        <row r="4033">
          <cell r="B4033">
            <v>2025504500001</v>
          </cell>
          <cell r="BP4033">
            <v>0</v>
          </cell>
        </row>
        <row r="4034">
          <cell r="B4034">
            <v>2023505680006</v>
          </cell>
          <cell r="BP4034">
            <v>50</v>
          </cell>
        </row>
        <row r="4035">
          <cell r="B4035">
            <v>2023505680028</v>
          </cell>
          <cell r="BP4035">
            <v>100</v>
          </cell>
        </row>
        <row r="4036">
          <cell r="B4036">
            <v>2023505680035</v>
          </cell>
          <cell r="BP4036">
            <v>72.400000000000006</v>
          </cell>
        </row>
        <row r="4037">
          <cell r="B4037">
            <v>2024505680070</v>
          </cell>
          <cell r="BP4037">
            <v>84</v>
          </cell>
        </row>
        <row r="4038">
          <cell r="B4038">
            <v>2024505680072</v>
          </cell>
          <cell r="BP4038">
            <v>100</v>
          </cell>
        </row>
        <row r="4039">
          <cell r="B4039">
            <v>2024505680077</v>
          </cell>
          <cell r="BP4039">
            <v>8</v>
          </cell>
        </row>
        <row r="4040">
          <cell r="B4040">
            <v>2024505680080</v>
          </cell>
          <cell r="BP4040">
            <v>0</v>
          </cell>
        </row>
        <row r="4041">
          <cell r="B4041">
            <v>2024505680097</v>
          </cell>
          <cell r="BP4041">
            <v>94.8</v>
          </cell>
        </row>
        <row r="4042">
          <cell r="B4042">
            <v>2024505680158</v>
          </cell>
          <cell r="BP4042">
            <v>95.6</v>
          </cell>
        </row>
        <row r="4043">
          <cell r="B4043">
            <v>2024505680159</v>
          </cell>
          <cell r="BP4043">
            <v>38</v>
          </cell>
        </row>
        <row r="4044">
          <cell r="B4044">
            <v>2025505680012</v>
          </cell>
          <cell r="BP4044">
            <v>100</v>
          </cell>
        </row>
        <row r="4045">
          <cell r="B4045">
            <v>2025505680008</v>
          </cell>
          <cell r="BP4045">
            <v>44.5</v>
          </cell>
        </row>
        <row r="4046">
          <cell r="B4046" t="str">
            <v>2025N010320002</v>
          </cell>
          <cell r="BP4046">
            <v>0</v>
          </cell>
        </row>
        <row r="4047">
          <cell r="B4047">
            <v>2024505680157</v>
          </cell>
          <cell r="BP4047">
            <v>70.900000000000006</v>
          </cell>
        </row>
        <row r="4048">
          <cell r="B4048">
            <v>2023505680002</v>
          </cell>
          <cell r="BP4048">
            <v>41.2</v>
          </cell>
        </row>
        <row r="4049">
          <cell r="B4049">
            <v>2023505680009</v>
          </cell>
          <cell r="BP4049">
            <v>29</v>
          </cell>
        </row>
        <row r="4050">
          <cell r="B4050">
            <v>2024505680071</v>
          </cell>
          <cell r="BP4050">
            <v>8</v>
          </cell>
        </row>
        <row r="4051">
          <cell r="B4051">
            <v>2024505680163</v>
          </cell>
          <cell r="BP4051">
            <v>92</v>
          </cell>
        </row>
        <row r="4052">
          <cell r="B4052">
            <v>2024505680164</v>
          </cell>
          <cell r="BP4052">
            <v>33.799999999999997</v>
          </cell>
        </row>
        <row r="4053">
          <cell r="B4053">
            <v>2024505680166</v>
          </cell>
          <cell r="BP4053">
            <v>100</v>
          </cell>
        </row>
        <row r="4054">
          <cell r="B4054">
            <v>2024505680167</v>
          </cell>
          <cell r="BP4054">
            <v>100</v>
          </cell>
        </row>
        <row r="4055">
          <cell r="B4055">
            <v>2025505680026</v>
          </cell>
          <cell r="BP4055">
            <v>100</v>
          </cell>
        </row>
        <row r="4056">
          <cell r="B4056">
            <v>2025505680027</v>
          </cell>
          <cell r="BP4056">
            <v>100</v>
          </cell>
        </row>
        <row r="4057">
          <cell r="B4057">
            <v>2025505680031</v>
          </cell>
          <cell r="BP4057">
            <v>89</v>
          </cell>
        </row>
        <row r="4058">
          <cell r="B4058">
            <v>2015505680001</v>
          </cell>
          <cell r="BP4058">
            <v>14</v>
          </cell>
        </row>
        <row r="4059">
          <cell r="B4059">
            <v>2019505680022</v>
          </cell>
          <cell r="BP4059">
            <v>66</v>
          </cell>
        </row>
        <row r="4060">
          <cell r="B4060">
            <v>2021505680050</v>
          </cell>
          <cell r="BP4060">
            <v>100</v>
          </cell>
        </row>
        <row r="4061">
          <cell r="B4061">
            <v>2021505680102</v>
          </cell>
          <cell r="BP4061">
            <v>34</v>
          </cell>
        </row>
        <row r="4062">
          <cell r="B4062">
            <v>2021505680110</v>
          </cell>
          <cell r="BP4062">
            <v>100</v>
          </cell>
        </row>
        <row r="4063">
          <cell r="B4063">
            <v>2021505680111</v>
          </cell>
          <cell r="BP4063">
            <v>100</v>
          </cell>
        </row>
        <row r="4064">
          <cell r="B4064">
            <v>2021505680112</v>
          </cell>
          <cell r="BP4064">
            <v>96.8</v>
          </cell>
        </row>
        <row r="4065">
          <cell r="B4065">
            <v>2021505680113</v>
          </cell>
          <cell r="BP4065">
            <v>39.200000000000003</v>
          </cell>
        </row>
        <row r="4066">
          <cell r="B4066">
            <v>2021505680114</v>
          </cell>
          <cell r="BP4066">
            <v>50</v>
          </cell>
        </row>
        <row r="4067">
          <cell r="B4067">
            <v>2022505680003</v>
          </cell>
          <cell r="BP4067">
            <v>30</v>
          </cell>
        </row>
        <row r="4068">
          <cell r="B4068">
            <v>2022505680007</v>
          </cell>
          <cell r="BP4068">
            <v>36</v>
          </cell>
        </row>
        <row r="4069">
          <cell r="B4069">
            <v>2022505680009</v>
          </cell>
          <cell r="BP4069">
            <v>5</v>
          </cell>
        </row>
        <row r="4070">
          <cell r="B4070">
            <v>2022505680018</v>
          </cell>
          <cell r="BP4070">
            <v>29.6</v>
          </cell>
        </row>
        <row r="4071">
          <cell r="B4071">
            <v>2022505680025</v>
          </cell>
          <cell r="BP4071">
            <v>45.6</v>
          </cell>
        </row>
        <row r="4072">
          <cell r="B4072">
            <v>2023505680007</v>
          </cell>
          <cell r="BP4072">
            <v>16</v>
          </cell>
        </row>
        <row r="4073">
          <cell r="B4073">
            <v>2023505680012</v>
          </cell>
          <cell r="BP4073">
            <v>100</v>
          </cell>
        </row>
        <row r="4074">
          <cell r="B4074">
            <v>2023505680014</v>
          </cell>
          <cell r="BP4074">
            <v>100</v>
          </cell>
        </row>
        <row r="4075">
          <cell r="B4075">
            <v>2023505680033</v>
          </cell>
          <cell r="BP4075">
            <v>50</v>
          </cell>
        </row>
        <row r="4076">
          <cell r="B4076">
            <v>2024505680004</v>
          </cell>
          <cell r="BP4076">
            <v>100</v>
          </cell>
        </row>
        <row r="4077">
          <cell r="B4077">
            <v>2024505680005</v>
          </cell>
          <cell r="BP4077">
            <v>0</v>
          </cell>
        </row>
        <row r="4078">
          <cell r="B4078">
            <v>2024505680006</v>
          </cell>
          <cell r="BP4078">
            <v>0</v>
          </cell>
        </row>
        <row r="4079">
          <cell r="B4079">
            <v>2024505680160</v>
          </cell>
          <cell r="BP4079">
            <v>97.6</v>
          </cell>
        </row>
        <row r="4080">
          <cell r="B4080">
            <v>2024505680161</v>
          </cell>
          <cell r="BP4080">
            <v>100</v>
          </cell>
        </row>
        <row r="4081">
          <cell r="B4081">
            <v>2025505680013</v>
          </cell>
          <cell r="BP4081">
            <v>100</v>
          </cell>
        </row>
        <row r="4082">
          <cell r="B4082">
            <v>2025505680015</v>
          </cell>
          <cell r="BP4082">
            <v>11.2</v>
          </cell>
        </row>
        <row r="4083">
          <cell r="B4083">
            <v>2025505680017</v>
          </cell>
          <cell r="BP4083">
            <v>38</v>
          </cell>
        </row>
        <row r="4084">
          <cell r="B4084">
            <v>2025505680018</v>
          </cell>
          <cell r="BP4084">
            <v>100</v>
          </cell>
        </row>
        <row r="4085">
          <cell r="B4085">
            <v>2025505680022</v>
          </cell>
          <cell r="BP4085">
            <v>100</v>
          </cell>
        </row>
        <row r="4086">
          <cell r="B4086">
            <v>2025505680023</v>
          </cell>
          <cell r="BP4086">
            <v>100</v>
          </cell>
        </row>
        <row r="4087">
          <cell r="B4087">
            <v>2025505680028</v>
          </cell>
          <cell r="BP4087">
            <v>10</v>
          </cell>
        </row>
        <row r="4088">
          <cell r="B4088">
            <v>2025505680029</v>
          </cell>
          <cell r="BP4088">
            <v>100</v>
          </cell>
        </row>
        <row r="4089">
          <cell r="B4089">
            <v>2025505680030</v>
          </cell>
          <cell r="BP4089">
            <v>0</v>
          </cell>
        </row>
        <row r="4090">
          <cell r="B4090">
            <v>2025505680033</v>
          </cell>
          <cell r="BP4090">
            <v>100</v>
          </cell>
        </row>
        <row r="4091">
          <cell r="B4091">
            <v>2025505680034</v>
          </cell>
          <cell r="BP4091">
            <v>100</v>
          </cell>
        </row>
        <row r="4092">
          <cell r="B4092" t="str">
            <v>2023M001040003</v>
          </cell>
          <cell r="BP4092">
            <v>0</v>
          </cell>
        </row>
        <row r="4093">
          <cell r="B4093" t="str">
            <v>2025M001040003</v>
          </cell>
          <cell r="BP4093">
            <v>0</v>
          </cell>
        </row>
        <row r="4094">
          <cell r="B4094" t="str">
            <v>2024M000700005</v>
          </cell>
          <cell r="BP4094">
            <v>0</v>
          </cell>
        </row>
        <row r="4095">
          <cell r="B4095" t="str">
            <v>2023M000710003</v>
          </cell>
          <cell r="BP4095">
            <v>0</v>
          </cell>
        </row>
        <row r="4096">
          <cell r="B4096" t="str">
            <v>2025M000740001</v>
          </cell>
          <cell r="BP4096">
            <v>8.3000000000000007</v>
          </cell>
        </row>
        <row r="4097">
          <cell r="B4097">
            <v>20181301010097</v>
          </cell>
          <cell r="BP4097">
            <v>49</v>
          </cell>
        </row>
        <row r="4098">
          <cell r="B4098">
            <v>2023505770004</v>
          </cell>
          <cell r="BP4098">
            <v>27</v>
          </cell>
        </row>
        <row r="4099">
          <cell r="B4099">
            <v>2025505770001</v>
          </cell>
          <cell r="BP4099">
            <v>88.8</v>
          </cell>
        </row>
        <row r="4100">
          <cell r="B4100" t="str">
            <v>2025M002620002</v>
          </cell>
          <cell r="BP4100">
            <v>0</v>
          </cell>
        </row>
        <row r="4101">
          <cell r="B4101">
            <v>2025505900003</v>
          </cell>
          <cell r="BP4101">
            <v>89</v>
          </cell>
        </row>
        <row r="4102">
          <cell r="B4102">
            <v>20201301011699</v>
          </cell>
          <cell r="BP4102">
            <v>89</v>
          </cell>
        </row>
        <row r="4103">
          <cell r="B4103">
            <v>20251301010017</v>
          </cell>
          <cell r="BP4103">
            <v>60</v>
          </cell>
        </row>
        <row r="4104">
          <cell r="B4104">
            <v>2025506060001</v>
          </cell>
          <cell r="BP4104">
            <v>100</v>
          </cell>
        </row>
        <row r="4105">
          <cell r="B4105">
            <v>2025506800001</v>
          </cell>
          <cell r="BP4105">
            <v>60</v>
          </cell>
        </row>
        <row r="4106">
          <cell r="B4106">
            <v>2020506830037</v>
          </cell>
          <cell r="BP4106">
            <v>100</v>
          </cell>
        </row>
        <row r="4107">
          <cell r="B4107">
            <v>2023502230004</v>
          </cell>
          <cell r="BP4107">
            <v>50</v>
          </cell>
        </row>
        <row r="4108">
          <cell r="B4108">
            <v>2024502230083</v>
          </cell>
          <cell r="BP4108">
            <v>18.5</v>
          </cell>
        </row>
        <row r="4109">
          <cell r="B4109">
            <v>2025502230004</v>
          </cell>
          <cell r="BP4109">
            <v>50</v>
          </cell>
        </row>
        <row r="4110">
          <cell r="B4110" t="str">
            <v>2025N009440003</v>
          </cell>
          <cell r="BP4110">
            <v>60</v>
          </cell>
        </row>
        <row r="4111">
          <cell r="B4111" t="str">
            <v>2025N009720002</v>
          </cell>
          <cell r="BP4111">
            <v>89</v>
          </cell>
        </row>
        <row r="4112">
          <cell r="B4112">
            <v>2023500010018</v>
          </cell>
          <cell r="BP4112">
            <v>53.4</v>
          </cell>
        </row>
        <row r="4113">
          <cell r="B4113">
            <v>2019500010009</v>
          </cell>
          <cell r="BP4113">
            <v>45.2</v>
          </cell>
        </row>
        <row r="4114">
          <cell r="B4114">
            <v>2019500010030</v>
          </cell>
          <cell r="BP4114">
            <v>0</v>
          </cell>
        </row>
        <row r="4115">
          <cell r="B4115">
            <v>2020500010308</v>
          </cell>
          <cell r="BP4115">
            <v>0</v>
          </cell>
        </row>
        <row r="4116">
          <cell r="B4116">
            <v>2020500010309</v>
          </cell>
          <cell r="BP4116">
            <v>0</v>
          </cell>
        </row>
        <row r="4117">
          <cell r="B4117">
            <v>2021500010009</v>
          </cell>
          <cell r="BP4117">
            <v>0</v>
          </cell>
        </row>
        <row r="4118">
          <cell r="B4118">
            <v>2021500010031</v>
          </cell>
          <cell r="BP4118">
            <v>0</v>
          </cell>
        </row>
        <row r="4119">
          <cell r="B4119">
            <v>2023500010006</v>
          </cell>
          <cell r="BP4119">
            <v>29</v>
          </cell>
        </row>
        <row r="4120">
          <cell r="B4120">
            <v>2023500010012</v>
          </cell>
          <cell r="BP4120">
            <v>100</v>
          </cell>
        </row>
        <row r="4121">
          <cell r="B4121">
            <v>2025500010001</v>
          </cell>
          <cell r="BP4121">
            <v>0</v>
          </cell>
        </row>
        <row r="4122">
          <cell r="B4122">
            <v>2025500010003</v>
          </cell>
          <cell r="BP4122">
            <v>49.6</v>
          </cell>
        </row>
        <row r="4123">
          <cell r="B4123">
            <v>2025500010004</v>
          </cell>
          <cell r="BP4123">
            <v>100</v>
          </cell>
        </row>
        <row r="4124">
          <cell r="B4124">
            <v>20201301010931</v>
          </cell>
          <cell r="BP4124">
            <v>50</v>
          </cell>
        </row>
        <row r="4125">
          <cell r="B4125">
            <v>2022507110007</v>
          </cell>
          <cell r="BP4125">
            <v>86.4</v>
          </cell>
        </row>
        <row r="4126">
          <cell r="B4126">
            <v>20241301010244</v>
          </cell>
          <cell r="BP4126">
            <v>60</v>
          </cell>
        </row>
        <row r="4127">
          <cell r="B4127">
            <v>20232401060010</v>
          </cell>
          <cell r="BP4127">
            <v>100</v>
          </cell>
        </row>
        <row r="4128">
          <cell r="B4128">
            <v>20242401060028</v>
          </cell>
          <cell r="BP4128">
            <v>17.8</v>
          </cell>
        </row>
        <row r="4129">
          <cell r="B4129">
            <v>2022410130003</v>
          </cell>
          <cell r="BP4129">
            <v>23.5</v>
          </cell>
        </row>
        <row r="4130">
          <cell r="B4130">
            <v>20232401060019</v>
          </cell>
          <cell r="BP4130">
            <v>80.400000000000006</v>
          </cell>
        </row>
        <row r="4131">
          <cell r="B4131">
            <v>20232401060029</v>
          </cell>
          <cell r="BP4131">
            <v>100</v>
          </cell>
        </row>
        <row r="4132">
          <cell r="B4132">
            <v>20242401060032</v>
          </cell>
          <cell r="BP4132">
            <v>100</v>
          </cell>
        </row>
        <row r="4133">
          <cell r="B4133">
            <v>20252401060005</v>
          </cell>
          <cell r="BP4133">
            <v>100</v>
          </cell>
        </row>
        <row r="4134">
          <cell r="B4134">
            <v>20172401060022</v>
          </cell>
          <cell r="BP4134">
            <v>100</v>
          </cell>
        </row>
        <row r="4135">
          <cell r="B4135">
            <v>20202401060004</v>
          </cell>
          <cell r="BP4135">
            <v>0</v>
          </cell>
        </row>
        <row r="4136">
          <cell r="B4136">
            <v>20172401060010</v>
          </cell>
          <cell r="BP4136">
            <v>31.5</v>
          </cell>
        </row>
        <row r="4137">
          <cell r="B4137">
            <v>2022173800088</v>
          </cell>
          <cell r="BP4137">
            <v>100</v>
          </cell>
        </row>
        <row r="4138">
          <cell r="B4138">
            <v>20182401060004</v>
          </cell>
          <cell r="BP4138">
            <v>30</v>
          </cell>
        </row>
        <row r="4139">
          <cell r="B4139">
            <v>20192401060003</v>
          </cell>
          <cell r="BP4139">
            <v>100</v>
          </cell>
        </row>
        <row r="4140">
          <cell r="B4140">
            <v>20172401060016</v>
          </cell>
          <cell r="BP4140">
            <v>30</v>
          </cell>
        </row>
        <row r="4141">
          <cell r="B4141">
            <v>20132401060015</v>
          </cell>
          <cell r="BP4141">
            <v>0</v>
          </cell>
        </row>
        <row r="4142">
          <cell r="B4142">
            <v>20172401060017</v>
          </cell>
          <cell r="BP4142">
            <v>0</v>
          </cell>
        </row>
        <row r="4143">
          <cell r="B4143">
            <v>20152401060002</v>
          </cell>
          <cell r="BP4143">
            <v>42.3</v>
          </cell>
        </row>
        <row r="4144">
          <cell r="B4144">
            <v>20182401060003</v>
          </cell>
          <cell r="BP4144">
            <v>0</v>
          </cell>
        </row>
        <row r="4145">
          <cell r="B4145">
            <v>20242401060020</v>
          </cell>
          <cell r="BP4145">
            <v>96</v>
          </cell>
        </row>
        <row r="4146">
          <cell r="B4146">
            <v>20242401060027</v>
          </cell>
          <cell r="BP4146">
            <v>0</v>
          </cell>
        </row>
        <row r="4147">
          <cell r="B4147">
            <v>20243201010070</v>
          </cell>
          <cell r="BP4147">
            <v>77.2</v>
          </cell>
        </row>
        <row r="4148">
          <cell r="B4148">
            <v>20253201010015</v>
          </cell>
          <cell r="BP4148">
            <v>89</v>
          </cell>
        </row>
        <row r="4149">
          <cell r="B4149">
            <v>20243201010093</v>
          </cell>
          <cell r="BP4149">
            <v>100</v>
          </cell>
        </row>
        <row r="4150">
          <cell r="B4150">
            <v>20243201010094</v>
          </cell>
          <cell r="BP4150">
            <v>0</v>
          </cell>
        </row>
        <row r="4151">
          <cell r="B4151">
            <v>20253201010035</v>
          </cell>
          <cell r="BP4151">
            <v>100</v>
          </cell>
        </row>
        <row r="4152">
          <cell r="B4152">
            <v>20253201010003</v>
          </cell>
          <cell r="BP4152">
            <v>100</v>
          </cell>
        </row>
        <row r="4153">
          <cell r="B4153">
            <v>20253201010025</v>
          </cell>
          <cell r="BP4153">
            <v>100</v>
          </cell>
        </row>
        <row r="4154">
          <cell r="B4154">
            <v>20243201010068</v>
          </cell>
          <cell r="BP4154">
            <v>50</v>
          </cell>
        </row>
        <row r="4155">
          <cell r="B4155">
            <v>20253201010042</v>
          </cell>
          <cell r="BP4155">
            <v>35.6</v>
          </cell>
        </row>
        <row r="4156">
          <cell r="B4156">
            <v>20253201010001</v>
          </cell>
          <cell r="BP4156">
            <v>100</v>
          </cell>
        </row>
        <row r="4157">
          <cell r="B4157">
            <v>20253201010009</v>
          </cell>
          <cell r="BP4157">
            <v>53.4</v>
          </cell>
        </row>
        <row r="4158">
          <cell r="B4158">
            <v>20243201010095</v>
          </cell>
          <cell r="BP4158">
            <v>40</v>
          </cell>
        </row>
        <row r="4159">
          <cell r="B4159">
            <v>20253201010032</v>
          </cell>
          <cell r="BP4159">
            <v>53.4</v>
          </cell>
        </row>
        <row r="4160">
          <cell r="B4160">
            <v>20243201010055</v>
          </cell>
          <cell r="BP4160">
            <v>81.2</v>
          </cell>
        </row>
        <row r="4161">
          <cell r="B4161">
            <v>20243201010074</v>
          </cell>
          <cell r="BP4161">
            <v>40</v>
          </cell>
        </row>
        <row r="4162">
          <cell r="B4162">
            <v>20223201010016</v>
          </cell>
          <cell r="BP4162">
            <v>28.7</v>
          </cell>
        </row>
        <row r="4163">
          <cell r="B4163">
            <v>20253201010016</v>
          </cell>
          <cell r="BP4163">
            <v>100</v>
          </cell>
        </row>
        <row r="4164">
          <cell r="B4164">
            <v>20223201010035</v>
          </cell>
          <cell r="BP4164">
            <v>0</v>
          </cell>
        </row>
        <row r="4165">
          <cell r="B4165">
            <v>20243201010057</v>
          </cell>
          <cell r="BP4165">
            <v>100</v>
          </cell>
        </row>
        <row r="4166">
          <cell r="B4166">
            <v>20253201010012</v>
          </cell>
          <cell r="BP4166">
            <v>100</v>
          </cell>
        </row>
        <row r="4167">
          <cell r="B4167">
            <v>20243201010085</v>
          </cell>
          <cell r="BP4167">
            <v>95.6</v>
          </cell>
        </row>
        <row r="4168">
          <cell r="B4168">
            <v>20233201010006</v>
          </cell>
          <cell r="BP4168">
            <v>60</v>
          </cell>
        </row>
        <row r="4169">
          <cell r="B4169">
            <v>20243201010056</v>
          </cell>
          <cell r="BP4169">
            <v>40</v>
          </cell>
        </row>
        <row r="4170">
          <cell r="B4170">
            <v>20243201010073</v>
          </cell>
          <cell r="BP4170">
            <v>90.4</v>
          </cell>
        </row>
        <row r="4171">
          <cell r="B4171">
            <v>20253201010013</v>
          </cell>
          <cell r="BP4171">
            <v>76</v>
          </cell>
        </row>
        <row r="4172">
          <cell r="B4172">
            <v>20223201010023</v>
          </cell>
          <cell r="BP4172">
            <v>26.7</v>
          </cell>
        </row>
        <row r="4173">
          <cell r="B4173">
            <v>20243201010077</v>
          </cell>
          <cell r="BP4173">
            <v>40</v>
          </cell>
        </row>
        <row r="4174">
          <cell r="B4174">
            <v>20243201010037</v>
          </cell>
          <cell r="BP4174">
            <v>100</v>
          </cell>
        </row>
        <row r="4175">
          <cell r="B4175">
            <v>20243201010038</v>
          </cell>
          <cell r="BP4175">
            <v>23</v>
          </cell>
        </row>
        <row r="4176">
          <cell r="B4176">
            <v>20243201010069</v>
          </cell>
          <cell r="BP4176">
            <v>0</v>
          </cell>
        </row>
        <row r="4177">
          <cell r="B4177">
            <v>20253201010039</v>
          </cell>
          <cell r="BP4177">
            <v>94.8</v>
          </cell>
        </row>
        <row r="4178">
          <cell r="B4178">
            <v>20243201010043</v>
          </cell>
          <cell r="BP4178">
            <v>100</v>
          </cell>
        </row>
        <row r="4179">
          <cell r="B4179">
            <v>20253201010017</v>
          </cell>
          <cell r="BP4179">
            <v>60</v>
          </cell>
        </row>
        <row r="4180">
          <cell r="B4180">
            <v>20243201010079</v>
          </cell>
          <cell r="BP4180">
            <v>100</v>
          </cell>
        </row>
        <row r="4181">
          <cell r="B4181">
            <v>20253201010062</v>
          </cell>
          <cell r="BP4181">
            <v>76.400000000000006</v>
          </cell>
        </row>
        <row r="4182">
          <cell r="B4182">
            <v>20243201010075</v>
          </cell>
          <cell r="BP4182">
            <v>100</v>
          </cell>
        </row>
        <row r="4183">
          <cell r="B4183">
            <v>20243201010059</v>
          </cell>
          <cell r="BP4183">
            <v>100</v>
          </cell>
        </row>
        <row r="4184">
          <cell r="B4184">
            <v>20243201010082</v>
          </cell>
          <cell r="BP4184">
            <v>0</v>
          </cell>
        </row>
        <row r="4185">
          <cell r="B4185">
            <v>20243201010040</v>
          </cell>
          <cell r="BP4185">
            <v>100</v>
          </cell>
        </row>
        <row r="4186">
          <cell r="B4186">
            <v>20243201010050</v>
          </cell>
          <cell r="BP4186">
            <v>92</v>
          </cell>
        </row>
        <row r="4187">
          <cell r="B4187">
            <v>20243201010080</v>
          </cell>
          <cell r="BP4187">
            <v>100</v>
          </cell>
        </row>
        <row r="4188">
          <cell r="B4188">
            <v>20253201010030</v>
          </cell>
          <cell r="BP4188">
            <v>96.4</v>
          </cell>
        </row>
        <row r="4189">
          <cell r="B4189">
            <v>20243201010047</v>
          </cell>
          <cell r="BP4189">
            <v>100</v>
          </cell>
        </row>
        <row r="4190">
          <cell r="B4190">
            <v>20243201010060</v>
          </cell>
          <cell r="BP4190">
            <v>60</v>
          </cell>
        </row>
        <row r="4191">
          <cell r="B4191">
            <v>20243201010065</v>
          </cell>
          <cell r="BP4191">
            <v>100</v>
          </cell>
        </row>
        <row r="4192">
          <cell r="B4192">
            <v>20243201010045</v>
          </cell>
          <cell r="BP4192">
            <v>100</v>
          </cell>
        </row>
        <row r="4193">
          <cell r="B4193">
            <v>20253201010029</v>
          </cell>
          <cell r="BP4193">
            <v>100</v>
          </cell>
        </row>
        <row r="4194">
          <cell r="B4194">
            <v>20243201010072</v>
          </cell>
          <cell r="BP4194">
            <v>74.8</v>
          </cell>
        </row>
        <row r="4195">
          <cell r="B4195">
            <v>20233201010004</v>
          </cell>
          <cell r="BP4195">
            <v>100</v>
          </cell>
        </row>
        <row r="4196">
          <cell r="B4196">
            <v>20243201010053</v>
          </cell>
          <cell r="BP4196">
            <v>100</v>
          </cell>
        </row>
        <row r="4197">
          <cell r="B4197">
            <v>20243201010054</v>
          </cell>
          <cell r="BP4197">
            <v>100</v>
          </cell>
        </row>
        <row r="4198">
          <cell r="B4198">
            <v>20253201010014</v>
          </cell>
          <cell r="BP4198">
            <v>100</v>
          </cell>
        </row>
        <row r="4199">
          <cell r="B4199">
            <v>20243201010041</v>
          </cell>
          <cell r="BP4199">
            <v>96</v>
          </cell>
        </row>
        <row r="4200">
          <cell r="B4200">
            <v>20243201010066</v>
          </cell>
          <cell r="BP4200">
            <v>100</v>
          </cell>
        </row>
        <row r="4201">
          <cell r="B4201">
            <v>20243201010051</v>
          </cell>
          <cell r="BP4201">
            <v>60</v>
          </cell>
        </row>
        <row r="4202">
          <cell r="B4202">
            <v>20243201010081</v>
          </cell>
          <cell r="BP4202">
            <v>60</v>
          </cell>
        </row>
        <row r="4203">
          <cell r="B4203">
            <v>20243201010071</v>
          </cell>
          <cell r="BP4203">
            <v>100</v>
          </cell>
        </row>
        <row r="4204">
          <cell r="B4204" t="str">
            <v>2025M003460001</v>
          </cell>
          <cell r="BP4204">
            <v>77.599999999999994</v>
          </cell>
        </row>
        <row r="4205">
          <cell r="B4205">
            <v>20243201010042</v>
          </cell>
          <cell r="BP4205">
            <v>100</v>
          </cell>
        </row>
        <row r="4206">
          <cell r="B4206">
            <v>20243201010058</v>
          </cell>
          <cell r="BP4206">
            <v>90.4</v>
          </cell>
        </row>
        <row r="4207">
          <cell r="B4207">
            <v>20243201010078</v>
          </cell>
          <cell r="BP4207">
            <v>96.4</v>
          </cell>
        </row>
        <row r="4208">
          <cell r="B4208">
            <v>20253201010018</v>
          </cell>
          <cell r="BP4208">
            <v>60</v>
          </cell>
        </row>
        <row r="4209">
          <cell r="B4209">
            <v>20243201010084</v>
          </cell>
          <cell r="BP4209">
            <v>81.2</v>
          </cell>
        </row>
        <row r="4210">
          <cell r="B4210">
            <v>2024000100096</v>
          </cell>
          <cell r="BP4210">
            <v>0</v>
          </cell>
        </row>
        <row r="4211">
          <cell r="B4211">
            <v>2025520190004</v>
          </cell>
          <cell r="BP4211">
            <v>0</v>
          </cell>
        </row>
        <row r="4212">
          <cell r="B4212">
            <v>2025520360001</v>
          </cell>
          <cell r="BP4212">
            <v>28.8</v>
          </cell>
        </row>
        <row r="4213">
          <cell r="B4213">
            <v>2023520510029</v>
          </cell>
          <cell r="BP4213">
            <v>0</v>
          </cell>
        </row>
        <row r="4214">
          <cell r="B4214">
            <v>2025520510005</v>
          </cell>
          <cell r="BP4214">
            <v>0</v>
          </cell>
        </row>
        <row r="4215">
          <cell r="B4215">
            <v>2024520510004</v>
          </cell>
          <cell r="BP4215">
            <v>0</v>
          </cell>
        </row>
        <row r="4216">
          <cell r="B4216">
            <v>2025520510007</v>
          </cell>
          <cell r="BP4216">
            <v>0</v>
          </cell>
        </row>
        <row r="4217">
          <cell r="B4217">
            <v>2025520510008</v>
          </cell>
          <cell r="BP4217">
            <v>60</v>
          </cell>
        </row>
        <row r="4218">
          <cell r="B4218">
            <v>2025520510009</v>
          </cell>
          <cell r="BP4218">
            <v>60</v>
          </cell>
        </row>
        <row r="4219">
          <cell r="B4219" t="str">
            <v>2023I00010041</v>
          </cell>
          <cell r="BP4219">
            <v>100</v>
          </cell>
        </row>
        <row r="4220">
          <cell r="B4220" t="str">
            <v>2024I00010005</v>
          </cell>
          <cell r="BP4220">
            <v>96</v>
          </cell>
        </row>
        <row r="4221">
          <cell r="B4221">
            <v>2023520790007</v>
          </cell>
          <cell r="BP4221">
            <v>0</v>
          </cell>
        </row>
        <row r="4222">
          <cell r="B4222">
            <v>20251301010228</v>
          </cell>
          <cell r="BP4222">
            <v>40</v>
          </cell>
        </row>
        <row r="4223">
          <cell r="B4223">
            <v>2025520790003</v>
          </cell>
          <cell r="BP4223">
            <v>100</v>
          </cell>
        </row>
        <row r="4224">
          <cell r="B4224">
            <v>2024000030017</v>
          </cell>
          <cell r="BP4224">
            <v>100</v>
          </cell>
        </row>
        <row r="4225">
          <cell r="B4225">
            <v>20241301010264</v>
          </cell>
          <cell r="BP4225">
            <v>90</v>
          </cell>
        </row>
        <row r="4226">
          <cell r="B4226">
            <v>2022520790003</v>
          </cell>
          <cell r="BP4226">
            <v>100</v>
          </cell>
        </row>
        <row r="4227">
          <cell r="B4227">
            <v>2023520790002</v>
          </cell>
          <cell r="BP4227">
            <v>0</v>
          </cell>
        </row>
        <row r="4228">
          <cell r="B4228">
            <v>2023520790003</v>
          </cell>
          <cell r="BP4228">
            <v>100</v>
          </cell>
        </row>
        <row r="4229">
          <cell r="B4229">
            <v>2025520790002</v>
          </cell>
          <cell r="BP4229">
            <v>92</v>
          </cell>
        </row>
        <row r="4230">
          <cell r="B4230">
            <v>2025520790004</v>
          </cell>
          <cell r="BP4230">
            <v>87.6</v>
          </cell>
        </row>
        <row r="4231">
          <cell r="B4231">
            <v>2025520790005</v>
          </cell>
          <cell r="BP4231">
            <v>60</v>
          </cell>
        </row>
        <row r="4232">
          <cell r="B4232">
            <v>2025521100001</v>
          </cell>
          <cell r="BP4232">
            <v>100</v>
          </cell>
        </row>
        <row r="4233">
          <cell r="B4233">
            <v>2026521100001</v>
          </cell>
          <cell r="BP4233">
            <v>100</v>
          </cell>
        </row>
        <row r="4234">
          <cell r="B4234">
            <v>2025522070001</v>
          </cell>
          <cell r="BP4234">
            <v>35.6</v>
          </cell>
        </row>
        <row r="4235">
          <cell r="B4235">
            <v>2025522100001</v>
          </cell>
          <cell r="BP4235">
            <v>100</v>
          </cell>
        </row>
        <row r="4236">
          <cell r="B4236">
            <v>2025003520010</v>
          </cell>
          <cell r="BP4236">
            <v>40</v>
          </cell>
        </row>
        <row r="4237">
          <cell r="B4237">
            <v>2025522240001</v>
          </cell>
          <cell r="BP4237">
            <v>89</v>
          </cell>
        </row>
        <row r="4238">
          <cell r="B4238">
            <v>2025522270001</v>
          </cell>
          <cell r="BP4238">
            <v>100</v>
          </cell>
        </row>
        <row r="4239">
          <cell r="B4239">
            <v>2025522330003</v>
          </cell>
          <cell r="BP4239">
            <v>41.7</v>
          </cell>
        </row>
        <row r="4240">
          <cell r="B4240">
            <v>20201301010353</v>
          </cell>
          <cell r="BP4240">
            <v>30</v>
          </cell>
        </row>
        <row r="4241">
          <cell r="B4241">
            <v>2025522500003</v>
          </cell>
          <cell r="BP4241">
            <v>100</v>
          </cell>
        </row>
        <row r="4242">
          <cell r="B4242">
            <v>20211301011823</v>
          </cell>
          <cell r="BP4242">
            <v>95.2</v>
          </cell>
        </row>
        <row r="4243">
          <cell r="B4243">
            <v>20231301010199</v>
          </cell>
          <cell r="BP4243">
            <v>92</v>
          </cell>
        </row>
        <row r="4244">
          <cell r="B4244">
            <v>2025522540001</v>
          </cell>
          <cell r="BP4244">
            <v>100</v>
          </cell>
        </row>
        <row r="4245">
          <cell r="B4245">
            <v>2025522540003</v>
          </cell>
          <cell r="BP4245">
            <v>100</v>
          </cell>
        </row>
        <row r="4246">
          <cell r="B4246">
            <v>2025522540002</v>
          </cell>
          <cell r="BP4246">
            <v>100</v>
          </cell>
        </row>
        <row r="4247">
          <cell r="B4247">
            <v>2026522580001</v>
          </cell>
          <cell r="BP4247">
            <v>40</v>
          </cell>
        </row>
        <row r="4248">
          <cell r="B4248">
            <v>2025522600001</v>
          </cell>
          <cell r="BP4248">
            <v>18</v>
          </cell>
        </row>
        <row r="4249">
          <cell r="B4249">
            <v>2025522600003</v>
          </cell>
          <cell r="BP4249">
            <v>100</v>
          </cell>
        </row>
        <row r="4250">
          <cell r="B4250">
            <v>2023525200006</v>
          </cell>
          <cell r="BP4250">
            <v>0</v>
          </cell>
        </row>
        <row r="4251">
          <cell r="B4251">
            <v>2023525200008</v>
          </cell>
          <cell r="BP4251">
            <v>0</v>
          </cell>
        </row>
        <row r="4252">
          <cell r="B4252">
            <v>20211301012121</v>
          </cell>
          <cell r="BP4252">
            <v>92</v>
          </cell>
        </row>
        <row r="4253">
          <cell r="B4253">
            <v>2025522870002</v>
          </cell>
          <cell r="BP4253">
            <v>60</v>
          </cell>
        </row>
        <row r="4254">
          <cell r="B4254">
            <v>2025523170002</v>
          </cell>
          <cell r="BP4254">
            <v>100</v>
          </cell>
        </row>
        <row r="4255">
          <cell r="B4255">
            <v>2025523200004</v>
          </cell>
          <cell r="BP4255">
            <v>100</v>
          </cell>
        </row>
        <row r="4256">
          <cell r="B4256">
            <v>2025523200002</v>
          </cell>
          <cell r="BP4256">
            <v>81.2</v>
          </cell>
        </row>
        <row r="4257">
          <cell r="B4257">
            <v>2025523520001</v>
          </cell>
          <cell r="BP4257">
            <v>100</v>
          </cell>
        </row>
        <row r="4258">
          <cell r="B4258">
            <v>2023523540006</v>
          </cell>
          <cell r="BP4258">
            <v>0</v>
          </cell>
        </row>
        <row r="4259">
          <cell r="B4259">
            <v>2024523540024</v>
          </cell>
          <cell r="BP4259">
            <v>0</v>
          </cell>
        </row>
        <row r="4260">
          <cell r="B4260">
            <v>2025523540003</v>
          </cell>
          <cell r="BP4260">
            <v>96</v>
          </cell>
        </row>
        <row r="4261">
          <cell r="B4261">
            <v>2026523540001</v>
          </cell>
          <cell r="BP4261">
            <v>100</v>
          </cell>
        </row>
        <row r="4262">
          <cell r="B4262">
            <v>2025523560005</v>
          </cell>
          <cell r="BP4262">
            <v>0</v>
          </cell>
        </row>
        <row r="4263">
          <cell r="B4263">
            <v>2022523560116</v>
          </cell>
          <cell r="BP4263">
            <v>0</v>
          </cell>
        </row>
        <row r="4264">
          <cell r="B4264">
            <v>2017523560001</v>
          </cell>
          <cell r="BP4264">
            <v>0</v>
          </cell>
        </row>
        <row r="4265">
          <cell r="B4265">
            <v>2025523780003</v>
          </cell>
          <cell r="BP4265">
            <v>100</v>
          </cell>
        </row>
        <row r="4266">
          <cell r="B4266">
            <v>2019523780028</v>
          </cell>
          <cell r="BP4266">
            <v>0</v>
          </cell>
        </row>
        <row r="4267">
          <cell r="B4267">
            <v>2025523780002</v>
          </cell>
          <cell r="BP4267">
            <v>46.6</v>
          </cell>
        </row>
        <row r="4268">
          <cell r="B4268">
            <v>2023523810006</v>
          </cell>
          <cell r="BP4268">
            <v>100</v>
          </cell>
        </row>
        <row r="4269">
          <cell r="B4269">
            <v>2025523810001</v>
          </cell>
          <cell r="BP4269">
            <v>44</v>
          </cell>
        </row>
        <row r="4270">
          <cell r="B4270">
            <v>2023523850050</v>
          </cell>
          <cell r="BP4270">
            <v>0</v>
          </cell>
        </row>
        <row r="4271">
          <cell r="B4271">
            <v>2025523850001</v>
          </cell>
          <cell r="BP4271">
            <v>100</v>
          </cell>
        </row>
        <row r="4272">
          <cell r="B4272">
            <v>2023523900007</v>
          </cell>
          <cell r="BP4272">
            <v>0</v>
          </cell>
        </row>
        <row r="4273">
          <cell r="B4273">
            <v>2025523900001</v>
          </cell>
          <cell r="BP4273">
            <v>40</v>
          </cell>
        </row>
        <row r="4274">
          <cell r="B4274">
            <v>2024523990046</v>
          </cell>
          <cell r="BP4274">
            <v>0</v>
          </cell>
        </row>
        <row r="4275">
          <cell r="B4275">
            <v>2025524050004</v>
          </cell>
          <cell r="BP4275">
            <v>69.099999999999994</v>
          </cell>
        </row>
        <row r="4276">
          <cell r="B4276">
            <v>2023524050020</v>
          </cell>
          <cell r="BP4276">
            <v>100</v>
          </cell>
        </row>
        <row r="4277">
          <cell r="B4277">
            <v>2025524050002</v>
          </cell>
          <cell r="BP4277">
            <v>0</v>
          </cell>
        </row>
        <row r="4278">
          <cell r="B4278">
            <v>2025524050003</v>
          </cell>
          <cell r="BP4278">
            <v>60</v>
          </cell>
        </row>
        <row r="4279">
          <cell r="B4279">
            <v>2025524110001</v>
          </cell>
          <cell r="BP4279">
            <v>0</v>
          </cell>
        </row>
        <row r="4280">
          <cell r="B4280">
            <v>20221301010020</v>
          </cell>
          <cell r="BP4280">
            <v>60</v>
          </cell>
        </row>
        <row r="4281">
          <cell r="B4281">
            <v>20241301010137</v>
          </cell>
          <cell r="BP4281">
            <v>35.6</v>
          </cell>
        </row>
        <row r="4282">
          <cell r="B4282">
            <v>2024524350022</v>
          </cell>
          <cell r="BP4282">
            <v>60</v>
          </cell>
        </row>
        <row r="4283">
          <cell r="B4283">
            <v>2025524350004</v>
          </cell>
          <cell r="BP4283">
            <v>92</v>
          </cell>
        </row>
        <row r="4284">
          <cell r="B4284">
            <v>2025524350005</v>
          </cell>
          <cell r="BP4284">
            <v>100</v>
          </cell>
        </row>
        <row r="4285">
          <cell r="B4285">
            <v>2025524350002</v>
          </cell>
          <cell r="BP4285">
            <v>0</v>
          </cell>
        </row>
        <row r="4286">
          <cell r="B4286">
            <v>2025524350003</v>
          </cell>
          <cell r="BP4286">
            <v>50</v>
          </cell>
        </row>
        <row r="4287">
          <cell r="B4287">
            <v>20211301011728</v>
          </cell>
          <cell r="BP4287">
            <v>89</v>
          </cell>
        </row>
        <row r="4288">
          <cell r="B4288">
            <v>2025524800001</v>
          </cell>
          <cell r="BP4288">
            <v>100</v>
          </cell>
        </row>
        <row r="4289">
          <cell r="B4289">
            <v>2024524800017</v>
          </cell>
          <cell r="BP4289">
            <v>100</v>
          </cell>
        </row>
        <row r="4290">
          <cell r="B4290">
            <v>2022003520036</v>
          </cell>
          <cell r="BP4290">
            <v>0</v>
          </cell>
        </row>
        <row r="4291">
          <cell r="B4291">
            <v>2012000030068</v>
          </cell>
          <cell r="BP4291">
            <v>0</v>
          </cell>
        </row>
        <row r="4292">
          <cell r="B4292">
            <v>2024003520070</v>
          </cell>
          <cell r="BP4292">
            <v>44.8</v>
          </cell>
        </row>
        <row r="4293">
          <cell r="B4293">
            <v>2024003520080</v>
          </cell>
          <cell r="BP4293">
            <v>50</v>
          </cell>
        </row>
        <row r="4294">
          <cell r="B4294">
            <v>2024003520158</v>
          </cell>
          <cell r="BP4294">
            <v>100</v>
          </cell>
        </row>
        <row r="4295">
          <cell r="B4295">
            <v>2024003520178</v>
          </cell>
          <cell r="BP4295">
            <v>100</v>
          </cell>
        </row>
        <row r="4296">
          <cell r="B4296">
            <v>2020000030091</v>
          </cell>
          <cell r="BP4296">
            <v>2.5</v>
          </cell>
        </row>
        <row r="4297">
          <cell r="B4297">
            <v>2020000100673</v>
          </cell>
          <cell r="BP4297">
            <v>0</v>
          </cell>
        </row>
        <row r="4298">
          <cell r="B4298">
            <v>2012000030075</v>
          </cell>
          <cell r="BP4298">
            <v>100</v>
          </cell>
        </row>
        <row r="4299">
          <cell r="B4299">
            <v>2012000100093</v>
          </cell>
          <cell r="BP4299">
            <v>37</v>
          </cell>
        </row>
        <row r="4300">
          <cell r="B4300">
            <v>2013000030077</v>
          </cell>
          <cell r="BP4300">
            <v>100</v>
          </cell>
        </row>
        <row r="4301">
          <cell r="B4301">
            <v>2013000030097</v>
          </cell>
          <cell r="BP4301">
            <v>100</v>
          </cell>
        </row>
        <row r="4302">
          <cell r="B4302">
            <v>2013000030105</v>
          </cell>
          <cell r="BP4302">
            <v>100</v>
          </cell>
        </row>
        <row r="4303">
          <cell r="B4303">
            <v>2013000030120</v>
          </cell>
          <cell r="BP4303">
            <v>30</v>
          </cell>
        </row>
        <row r="4304">
          <cell r="B4304">
            <v>2013000030145</v>
          </cell>
          <cell r="BP4304">
            <v>0</v>
          </cell>
        </row>
        <row r="4305">
          <cell r="B4305">
            <v>2014000030050</v>
          </cell>
          <cell r="BP4305">
            <v>0</v>
          </cell>
        </row>
        <row r="4306">
          <cell r="B4306">
            <v>2017000030158</v>
          </cell>
          <cell r="BP4306">
            <v>90</v>
          </cell>
        </row>
        <row r="4307">
          <cell r="B4307">
            <v>2017000030166</v>
          </cell>
          <cell r="BP4307">
            <v>69.599999999999994</v>
          </cell>
        </row>
        <row r="4308">
          <cell r="B4308">
            <v>2017000100019</v>
          </cell>
          <cell r="BP4308">
            <v>100</v>
          </cell>
        </row>
        <row r="4309">
          <cell r="B4309">
            <v>2017000100028</v>
          </cell>
          <cell r="BP4309">
            <v>60</v>
          </cell>
        </row>
        <row r="4310">
          <cell r="B4310">
            <v>2017000100098</v>
          </cell>
          <cell r="BP4310">
            <v>86</v>
          </cell>
        </row>
        <row r="4311">
          <cell r="B4311">
            <v>2018000030122</v>
          </cell>
          <cell r="BP4311">
            <v>50</v>
          </cell>
        </row>
        <row r="4312">
          <cell r="B4312">
            <v>2018000030197</v>
          </cell>
          <cell r="BP4312">
            <v>85</v>
          </cell>
        </row>
        <row r="4313">
          <cell r="B4313">
            <v>2021000030071</v>
          </cell>
          <cell r="BP4313">
            <v>100</v>
          </cell>
        </row>
        <row r="4314">
          <cell r="B4314">
            <v>2021000100350</v>
          </cell>
          <cell r="BP4314">
            <v>100</v>
          </cell>
        </row>
        <row r="4315">
          <cell r="B4315">
            <v>2022000100032</v>
          </cell>
          <cell r="BP4315">
            <v>100</v>
          </cell>
        </row>
        <row r="4316">
          <cell r="B4316">
            <v>2024003520024</v>
          </cell>
          <cell r="BP4316">
            <v>86.8</v>
          </cell>
        </row>
        <row r="4317">
          <cell r="B4317">
            <v>2025000030005</v>
          </cell>
          <cell r="BP4317">
            <v>100</v>
          </cell>
        </row>
        <row r="4318">
          <cell r="B4318">
            <v>2025003520007</v>
          </cell>
          <cell r="BP4318">
            <v>100</v>
          </cell>
        </row>
        <row r="4319">
          <cell r="B4319">
            <v>2020000030127</v>
          </cell>
          <cell r="BP4319">
            <v>22.5</v>
          </cell>
        </row>
        <row r="4320">
          <cell r="B4320">
            <v>2024003520022</v>
          </cell>
          <cell r="BP4320">
            <v>25.5</v>
          </cell>
        </row>
        <row r="4321">
          <cell r="B4321">
            <v>2021000100437</v>
          </cell>
          <cell r="BP4321">
            <v>100</v>
          </cell>
        </row>
        <row r="4322">
          <cell r="B4322">
            <v>2024003520028</v>
          </cell>
          <cell r="BP4322">
            <v>100</v>
          </cell>
        </row>
        <row r="4323">
          <cell r="B4323">
            <v>2024003520160</v>
          </cell>
          <cell r="BP4323">
            <v>95.6</v>
          </cell>
        </row>
        <row r="4324">
          <cell r="B4324">
            <v>2024003520170</v>
          </cell>
          <cell r="BP4324">
            <v>100</v>
          </cell>
        </row>
        <row r="4325">
          <cell r="B4325">
            <v>2025003520001</v>
          </cell>
          <cell r="BP4325">
            <v>100</v>
          </cell>
        </row>
        <row r="4326">
          <cell r="B4326">
            <v>2025003520004</v>
          </cell>
          <cell r="BP4326">
            <v>75.2</v>
          </cell>
        </row>
        <row r="4327">
          <cell r="B4327">
            <v>2023003520033</v>
          </cell>
          <cell r="BP4327">
            <v>100</v>
          </cell>
        </row>
        <row r="4328">
          <cell r="B4328">
            <v>2023003520035</v>
          </cell>
          <cell r="BP4328">
            <v>100</v>
          </cell>
        </row>
        <row r="4329">
          <cell r="B4329">
            <v>2015000100064</v>
          </cell>
          <cell r="BP4329">
            <v>0</v>
          </cell>
        </row>
        <row r="4330">
          <cell r="B4330">
            <v>2020000030024</v>
          </cell>
          <cell r="BP4330">
            <v>0</v>
          </cell>
        </row>
        <row r="4331">
          <cell r="B4331">
            <v>2020000100177</v>
          </cell>
          <cell r="BP4331">
            <v>0</v>
          </cell>
        </row>
        <row r="4332">
          <cell r="B4332">
            <v>2015000100001</v>
          </cell>
          <cell r="BP4332">
            <v>20</v>
          </cell>
        </row>
        <row r="4333">
          <cell r="B4333">
            <v>2021003520304</v>
          </cell>
          <cell r="BP4333">
            <v>34.299999999999997</v>
          </cell>
        </row>
        <row r="4334">
          <cell r="B4334">
            <v>2024003520161</v>
          </cell>
          <cell r="BP4334">
            <v>0</v>
          </cell>
        </row>
        <row r="4335">
          <cell r="B4335">
            <v>2025003520012</v>
          </cell>
          <cell r="BP4335">
            <v>64.400000000000006</v>
          </cell>
        </row>
        <row r="4336">
          <cell r="B4336">
            <v>2013000030076</v>
          </cell>
          <cell r="BP4336">
            <v>0</v>
          </cell>
        </row>
        <row r="4337">
          <cell r="B4337">
            <v>2022003520248</v>
          </cell>
          <cell r="BP4337">
            <v>100</v>
          </cell>
        </row>
        <row r="4338">
          <cell r="B4338">
            <v>2024003520176</v>
          </cell>
          <cell r="BP4338">
            <v>60</v>
          </cell>
        </row>
        <row r="4339">
          <cell r="B4339">
            <v>2024003520162</v>
          </cell>
          <cell r="BP4339">
            <v>100</v>
          </cell>
        </row>
        <row r="4340">
          <cell r="B4340">
            <v>2022003520247</v>
          </cell>
          <cell r="BP4340">
            <v>34.6</v>
          </cell>
        </row>
        <row r="4341">
          <cell r="B4341">
            <v>2017000030186</v>
          </cell>
          <cell r="BP4341">
            <v>46</v>
          </cell>
        </row>
        <row r="4342">
          <cell r="B4342">
            <v>2024003520151</v>
          </cell>
          <cell r="BP4342">
            <v>96</v>
          </cell>
        </row>
        <row r="4343">
          <cell r="B4343">
            <v>2021003520337</v>
          </cell>
          <cell r="BP4343">
            <v>100</v>
          </cell>
        </row>
        <row r="4344">
          <cell r="B4344">
            <v>2019000030108</v>
          </cell>
          <cell r="BP4344">
            <v>100</v>
          </cell>
        </row>
        <row r="4345">
          <cell r="B4345">
            <v>2022003520048</v>
          </cell>
          <cell r="BP4345">
            <v>0</v>
          </cell>
        </row>
        <row r="4346">
          <cell r="B4346">
            <v>2022003520061</v>
          </cell>
          <cell r="BP4346">
            <v>9.5</v>
          </cell>
        </row>
        <row r="4347">
          <cell r="B4347">
            <v>2012000030072</v>
          </cell>
          <cell r="BP4347">
            <v>0</v>
          </cell>
        </row>
        <row r="4348">
          <cell r="B4348">
            <v>2025003520005</v>
          </cell>
          <cell r="BP4348">
            <v>96.4</v>
          </cell>
        </row>
        <row r="4349">
          <cell r="B4349">
            <v>2024003520073</v>
          </cell>
          <cell r="BP4349">
            <v>89</v>
          </cell>
        </row>
        <row r="4350">
          <cell r="B4350">
            <v>2017000030148</v>
          </cell>
          <cell r="BP4350">
            <v>92</v>
          </cell>
        </row>
        <row r="4351">
          <cell r="B4351">
            <v>2024003520027</v>
          </cell>
          <cell r="BP4351">
            <v>92</v>
          </cell>
        </row>
        <row r="4352">
          <cell r="B4352">
            <v>2024003520169</v>
          </cell>
          <cell r="BP4352">
            <v>100</v>
          </cell>
        </row>
        <row r="4353">
          <cell r="B4353">
            <v>2024003520159</v>
          </cell>
          <cell r="BP4353">
            <v>86</v>
          </cell>
        </row>
        <row r="4354">
          <cell r="B4354">
            <v>2022003520049</v>
          </cell>
          <cell r="BP4354">
            <v>26.7</v>
          </cell>
        </row>
        <row r="4355">
          <cell r="B4355">
            <v>2024003520148</v>
          </cell>
          <cell r="BP4355">
            <v>99.2</v>
          </cell>
        </row>
        <row r="4356">
          <cell r="B4356">
            <v>2024003520171</v>
          </cell>
          <cell r="BP4356">
            <v>100</v>
          </cell>
        </row>
        <row r="4357">
          <cell r="B4357">
            <v>2024003520023</v>
          </cell>
          <cell r="BP4357">
            <v>100</v>
          </cell>
        </row>
        <row r="4358">
          <cell r="B4358">
            <v>2024003520035</v>
          </cell>
          <cell r="BP4358">
            <v>0</v>
          </cell>
        </row>
        <row r="4359">
          <cell r="B4359">
            <v>2025003520006</v>
          </cell>
          <cell r="BP4359">
            <v>100</v>
          </cell>
        </row>
        <row r="4360">
          <cell r="B4360">
            <v>2024003520079</v>
          </cell>
          <cell r="BP4360">
            <v>78</v>
          </cell>
        </row>
        <row r="4361">
          <cell r="B4361">
            <v>2023000100037</v>
          </cell>
          <cell r="BP4361">
            <v>100</v>
          </cell>
        </row>
        <row r="4362">
          <cell r="B4362">
            <v>2023003520034</v>
          </cell>
          <cell r="BP4362">
            <v>100</v>
          </cell>
        </row>
        <row r="4363">
          <cell r="B4363">
            <v>2023003520036</v>
          </cell>
          <cell r="BP4363">
            <v>65.2</v>
          </cell>
        </row>
        <row r="4364">
          <cell r="B4364">
            <v>2024003520163</v>
          </cell>
          <cell r="BP4364">
            <v>99.2</v>
          </cell>
        </row>
        <row r="4365">
          <cell r="B4365">
            <v>2024003520182</v>
          </cell>
          <cell r="BP4365">
            <v>100</v>
          </cell>
        </row>
        <row r="4366">
          <cell r="B4366">
            <v>2025003520008</v>
          </cell>
          <cell r="BP4366">
            <v>60</v>
          </cell>
        </row>
        <row r="4367">
          <cell r="B4367">
            <v>2025003520009</v>
          </cell>
          <cell r="BP4367">
            <v>60</v>
          </cell>
        </row>
        <row r="4368">
          <cell r="B4368">
            <v>2025003520011</v>
          </cell>
          <cell r="BP4368">
            <v>40</v>
          </cell>
        </row>
        <row r="4369">
          <cell r="B4369">
            <v>2021000100407</v>
          </cell>
          <cell r="BP4369">
            <v>100</v>
          </cell>
        </row>
        <row r="4370">
          <cell r="B4370">
            <v>2021000100460</v>
          </cell>
          <cell r="BP4370">
            <v>43.4</v>
          </cell>
        </row>
        <row r="4371">
          <cell r="B4371">
            <v>2017000100114</v>
          </cell>
          <cell r="BP4371">
            <v>100</v>
          </cell>
        </row>
        <row r="4372">
          <cell r="B4372">
            <v>2018000030058</v>
          </cell>
          <cell r="BP4372">
            <v>9</v>
          </cell>
        </row>
        <row r="4373">
          <cell r="B4373">
            <v>2018000030159</v>
          </cell>
          <cell r="BP4373">
            <v>0</v>
          </cell>
        </row>
        <row r="4374">
          <cell r="B4374">
            <v>2018000100016</v>
          </cell>
          <cell r="BP4374">
            <v>100</v>
          </cell>
        </row>
        <row r="4375">
          <cell r="B4375">
            <v>2019000030130</v>
          </cell>
          <cell r="BP4375">
            <v>83.2</v>
          </cell>
        </row>
        <row r="4376">
          <cell r="B4376">
            <v>2019000100023</v>
          </cell>
          <cell r="BP4376">
            <v>100</v>
          </cell>
        </row>
        <row r="4377">
          <cell r="B4377">
            <v>2020000100770</v>
          </cell>
          <cell r="BP4377">
            <v>2</v>
          </cell>
        </row>
        <row r="4378">
          <cell r="B4378">
            <v>2021000100037</v>
          </cell>
          <cell r="BP4378">
            <v>100</v>
          </cell>
        </row>
        <row r="4379">
          <cell r="B4379">
            <v>2021000100086</v>
          </cell>
          <cell r="BP4379">
            <v>100</v>
          </cell>
        </row>
        <row r="4380">
          <cell r="B4380">
            <v>2021000100278</v>
          </cell>
          <cell r="BP4380">
            <v>100</v>
          </cell>
        </row>
        <row r="4381">
          <cell r="B4381">
            <v>2021000100499</v>
          </cell>
          <cell r="BP4381">
            <v>100</v>
          </cell>
        </row>
        <row r="4382">
          <cell r="B4382">
            <v>2021000100066</v>
          </cell>
          <cell r="BP4382">
            <v>50</v>
          </cell>
        </row>
        <row r="4383">
          <cell r="B4383">
            <v>2021000100123</v>
          </cell>
          <cell r="BP4383">
            <v>100</v>
          </cell>
        </row>
        <row r="4384">
          <cell r="B4384">
            <v>20241301010171</v>
          </cell>
          <cell r="BP4384">
            <v>100</v>
          </cell>
        </row>
        <row r="4385">
          <cell r="B4385">
            <v>2025524900001</v>
          </cell>
          <cell r="BP4385">
            <v>100</v>
          </cell>
        </row>
        <row r="4386">
          <cell r="B4386">
            <v>20211301010833</v>
          </cell>
          <cell r="BP4386">
            <v>100</v>
          </cell>
        </row>
        <row r="4387">
          <cell r="B4387">
            <v>20211301012295</v>
          </cell>
          <cell r="BP4387">
            <v>81.2</v>
          </cell>
        </row>
        <row r="4388">
          <cell r="B4388">
            <v>2024524900016</v>
          </cell>
          <cell r="BP4388">
            <v>50</v>
          </cell>
        </row>
        <row r="4389">
          <cell r="B4389">
            <v>2025524900002</v>
          </cell>
          <cell r="BP4389">
            <v>40</v>
          </cell>
        </row>
        <row r="4390">
          <cell r="B4390">
            <v>2025524900003</v>
          </cell>
          <cell r="BP4390">
            <v>100</v>
          </cell>
        </row>
        <row r="4391">
          <cell r="B4391">
            <v>2025524900004</v>
          </cell>
          <cell r="BP4391">
            <v>40</v>
          </cell>
        </row>
        <row r="4392">
          <cell r="B4392">
            <v>20241301010170</v>
          </cell>
          <cell r="BP4392">
            <v>90</v>
          </cell>
        </row>
        <row r="4393">
          <cell r="B4393">
            <v>2024525400023</v>
          </cell>
          <cell r="BP4393">
            <v>90</v>
          </cell>
        </row>
        <row r="4394">
          <cell r="B4394">
            <v>2023525400022</v>
          </cell>
          <cell r="BP4394">
            <v>100</v>
          </cell>
        </row>
        <row r="4395">
          <cell r="B4395">
            <v>2024525400026</v>
          </cell>
          <cell r="BP4395">
            <v>100</v>
          </cell>
        </row>
        <row r="4396">
          <cell r="B4396">
            <v>2024525600030</v>
          </cell>
          <cell r="BP4396">
            <v>0</v>
          </cell>
        </row>
        <row r="4397">
          <cell r="B4397">
            <v>2025525600001</v>
          </cell>
          <cell r="BP4397">
            <v>92</v>
          </cell>
        </row>
        <row r="4398">
          <cell r="B4398">
            <v>2024525650034</v>
          </cell>
          <cell r="BP4398">
            <v>0</v>
          </cell>
        </row>
        <row r="4399">
          <cell r="B4399">
            <v>2025525650002</v>
          </cell>
          <cell r="BP4399">
            <v>40</v>
          </cell>
        </row>
        <row r="4400">
          <cell r="B4400">
            <v>2025525650003</v>
          </cell>
          <cell r="BP4400">
            <v>40</v>
          </cell>
        </row>
        <row r="4401">
          <cell r="B4401">
            <v>2024525650033</v>
          </cell>
          <cell r="BP4401">
            <v>35</v>
          </cell>
        </row>
        <row r="4402">
          <cell r="B4402">
            <v>2024525850028</v>
          </cell>
          <cell r="BP4402">
            <v>38.1</v>
          </cell>
        </row>
        <row r="4403">
          <cell r="B4403">
            <v>2025525850003</v>
          </cell>
          <cell r="BP4403">
            <v>100</v>
          </cell>
        </row>
        <row r="4404">
          <cell r="B4404">
            <v>2023520220018</v>
          </cell>
          <cell r="BP4404">
            <v>100</v>
          </cell>
        </row>
        <row r="4405">
          <cell r="B4405">
            <v>2025526120001</v>
          </cell>
          <cell r="BP4405">
            <v>0</v>
          </cell>
        </row>
        <row r="4406">
          <cell r="B4406">
            <v>2025526120004</v>
          </cell>
          <cell r="BP4406">
            <v>100</v>
          </cell>
        </row>
        <row r="4407">
          <cell r="B4407">
            <v>2025526120005</v>
          </cell>
          <cell r="BP4407">
            <v>66.400000000000006</v>
          </cell>
        </row>
        <row r="4408">
          <cell r="B4408">
            <v>20191301010082</v>
          </cell>
          <cell r="BP4408">
            <v>50</v>
          </cell>
        </row>
        <row r="4409">
          <cell r="B4409">
            <v>20221301010219</v>
          </cell>
          <cell r="BP4409">
            <v>100</v>
          </cell>
        </row>
        <row r="4410">
          <cell r="B4410">
            <v>2023526120049</v>
          </cell>
          <cell r="BP4410">
            <v>80</v>
          </cell>
        </row>
        <row r="4411">
          <cell r="B4411">
            <v>20241301010273</v>
          </cell>
          <cell r="BP4411">
            <v>100</v>
          </cell>
        </row>
        <row r="4412">
          <cell r="B4412">
            <v>2024526120079</v>
          </cell>
          <cell r="BP4412">
            <v>92</v>
          </cell>
        </row>
        <row r="4413">
          <cell r="B4413">
            <v>20211301012318</v>
          </cell>
          <cell r="BP4413">
            <v>56.8</v>
          </cell>
        </row>
        <row r="4414">
          <cell r="B4414">
            <v>20241301010008</v>
          </cell>
          <cell r="BP4414">
            <v>72.400000000000006</v>
          </cell>
        </row>
        <row r="4415">
          <cell r="B4415">
            <v>2023526780028</v>
          </cell>
          <cell r="BP4415">
            <v>0</v>
          </cell>
        </row>
        <row r="4416">
          <cell r="B4416">
            <v>2025526780001</v>
          </cell>
          <cell r="BP4416">
            <v>98.4</v>
          </cell>
        </row>
        <row r="4417">
          <cell r="B4417">
            <v>2025526780002</v>
          </cell>
          <cell r="BP4417">
            <v>100</v>
          </cell>
        </row>
        <row r="4418">
          <cell r="B4418">
            <v>2025526850003</v>
          </cell>
          <cell r="BP4418">
            <v>40</v>
          </cell>
        </row>
        <row r="4419">
          <cell r="B4419">
            <v>2023526870029</v>
          </cell>
          <cell r="BP4419">
            <v>0</v>
          </cell>
        </row>
        <row r="4420">
          <cell r="B4420">
            <v>2023526870030</v>
          </cell>
          <cell r="BP4420">
            <v>0</v>
          </cell>
        </row>
        <row r="4421">
          <cell r="B4421">
            <v>2023526870031</v>
          </cell>
          <cell r="BP4421">
            <v>0</v>
          </cell>
        </row>
        <row r="4422">
          <cell r="B4422">
            <v>2023526870032</v>
          </cell>
          <cell r="BP4422">
            <v>0</v>
          </cell>
        </row>
        <row r="4423">
          <cell r="B4423">
            <v>2024526870027</v>
          </cell>
          <cell r="BP4423">
            <v>0</v>
          </cell>
        </row>
        <row r="4424">
          <cell r="B4424">
            <v>2024526870039</v>
          </cell>
          <cell r="BP4424">
            <v>0</v>
          </cell>
        </row>
        <row r="4425">
          <cell r="B4425">
            <v>2025526870002</v>
          </cell>
          <cell r="BP4425">
            <v>0</v>
          </cell>
        </row>
        <row r="4426">
          <cell r="B4426">
            <v>2025526870003</v>
          </cell>
          <cell r="BP4426">
            <v>0</v>
          </cell>
        </row>
        <row r="4427">
          <cell r="B4427">
            <v>2025526870007</v>
          </cell>
          <cell r="BP4427">
            <v>100</v>
          </cell>
        </row>
        <row r="4428">
          <cell r="B4428">
            <v>2025526870008</v>
          </cell>
          <cell r="BP4428">
            <v>60</v>
          </cell>
        </row>
        <row r="4429">
          <cell r="B4429">
            <v>2019526930026</v>
          </cell>
          <cell r="BP4429">
            <v>32</v>
          </cell>
        </row>
        <row r="4430">
          <cell r="B4430">
            <v>2025526930001</v>
          </cell>
          <cell r="BP4430">
            <v>50</v>
          </cell>
        </row>
        <row r="4431">
          <cell r="B4431">
            <v>2025526930002</v>
          </cell>
          <cell r="BP4431">
            <v>100</v>
          </cell>
        </row>
        <row r="4432">
          <cell r="B4432">
            <v>2025526930003</v>
          </cell>
          <cell r="BP4432">
            <v>100</v>
          </cell>
        </row>
        <row r="4433">
          <cell r="B4433">
            <v>2023526940030</v>
          </cell>
          <cell r="BP4433">
            <v>0</v>
          </cell>
        </row>
        <row r="4434">
          <cell r="B4434">
            <v>2023526940034</v>
          </cell>
          <cell r="BP4434">
            <v>0</v>
          </cell>
        </row>
        <row r="4435">
          <cell r="B4435">
            <v>2024526940001</v>
          </cell>
          <cell r="BP4435">
            <v>0</v>
          </cell>
        </row>
        <row r="4436">
          <cell r="B4436">
            <v>2024526940022</v>
          </cell>
          <cell r="BP4436">
            <v>0</v>
          </cell>
        </row>
        <row r="4437">
          <cell r="B4437">
            <v>2025526940002</v>
          </cell>
          <cell r="BP4437">
            <v>53.4</v>
          </cell>
        </row>
        <row r="4438">
          <cell r="B4438">
            <v>20211301011786</v>
          </cell>
          <cell r="BP4438">
            <v>96</v>
          </cell>
        </row>
        <row r="4439">
          <cell r="B4439">
            <v>2025526960001</v>
          </cell>
          <cell r="BP4439">
            <v>20</v>
          </cell>
        </row>
        <row r="4440">
          <cell r="B4440">
            <v>2018526990003</v>
          </cell>
          <cell r="BP4440">
            <v>0</v>
          </cell>
        </row>
        <row r="4441">
          <cell r="B4441">
            <v>2025526990001</v>
          </cell>
          <cell r="BP4441">
            <v>99.2</v>
          </cell>
        </row>
        <row r="4442">
          <cell r="B4442">
            <v>2025526990002</v>
          </cell>
          <cell r="BP4442">
            <v>0</v>
          </cell>
        </row>
        <row r="4443">
          <cell r="B4443">
            <v>2025527200001</v>
          </cell>
          <cell r="BP4443">
            <v>82.4</v>
          </cell>
        </row>
        <row r="4444">
          <cell r="B4444">
            <v>2025527200002</v>
          </cell>
          <cell r="BP4444">
            <v>100</v>
          </cell>
        </row>
        <row r="4445">
          <cell r="B4445">
            <v>2025527200003</v>
          </cell>
          <cell r="BP4445">
            <v>100</v>
          </cell>
        </row>
        <row r="4446">
          <cell r="B4446">
            <v>2024527200018</v>
          </cell>
          <cell r="BP4446">
            <v>89</v>
          </cell>
        </row>
        <row r="4447">
          <cell r="B4447">
            <v>2025527860002</v>
          </cell>
          <cell r="BP4447">
            <v>100</v>
          </cell>
        </row>
        <row r="4448">
          <cell r="B4448">
            <v>2025527880001</v>
          </cell>
          <cell r="BP4448">
            <v>10</v>
          </cell>
        </row>
        <row r="4449">
          <cell r="B4449">
            <v>2025527880004</v>
          </cell>
          <cell r="BP4449">
            <v>60</v>
          </cell>
        </row>
        <row r="4450">
          <cell r="B4450">
            <v>2025527880003</v>
          </cell>
          <cell r="BP4450">
            <v>87.6</v>
          </cell>
        </row>
        <row r="4451">
          <cell r="B4451">
            <v>2025527880005</v>
          </cell>
          <cell r="BP4451">
            <v>100</v>
          </cell>
        </row>
        <row r="4452">
          <cell r="B4452">
            <v>20241301010177</v>
          </cell>
          <cell r="BP4452">
            <v>60</v>
          </cell>
        </row>
        <row r="4453">
          <cell r="B4453">
            <v>2025528350001</v>
          </cell>
          <cell r="BP4453">
            <v>100</v>
          </cell>
        </row>
        <row r="4454">
          <cell r="B4454">
            <v>2025528350004</v>
          </cell>
          <cell r="BP4454">
            <v>100</v>
          </cell>
        </row>
        <row r="4455">
          <cell r="B4455">
            <v>2026528350001</v>
          </cell>
          <cell r="BP4455">
            <v>100</v>
          </cell>
        </row>
        <row r="4456">
          <cell r="B4456">
            <v>20251301010056</v>
          </cell>
          <cell r="BP4456">
            <v>100</v>
          </cell>
        </row>
        <row r="4457">
          <cell r="B4457">
            <v>20251301010090</v>
          </cell>
          <cell r="BP4457">
            <v>100</v>
          </cell>
        </row>
        <row r="4458">
          <cell r="B4458">
            <v>2023528380025</v>
          </cell>
          <cell r="BP4458">
            <v>0</v>
          </cell>
        </row>
        <row r="4459">
          <cell r="B4459">
            <v>2024528380079</v>
          </cell>
          <cell r="BP4459">
            <v>89</v>
          </cell>
        </row>
        <row r="4460">
          <cell r="B4460">
            <v>2025528380004</v>
          </cell>
          <cell r="BP4460">
            <v>53.4</v>
          </cell>
        </row>
        <row r="4461">
          <cell r="B4461">
            <v>2025528380005</v>
          </cell>
          <cell r="BP4461">
            <v>89</v>
          </cell>
        </row>
        <row r="4462">
          <cell r="B4462">
            <v>2025528380006</v>
          </cell>
          <cell r="BP4462">
            <v>89</v>
          </cell>
        </row>
        <row r="4463">
          <cell r="B4463">
            <v>2025528850002</v>
          </cell>
          <cell r="BP4463">
            <v>21</v>
          </cell>
        </row>
        <row r="4464">
          <cell r="B4464">
            <v>2025540990004</v>
          </cell>
          <cell r="BP4464">
            <v>100</v>
          </cell>
        </row>
        <row r="4465">
          <cell r="B4465">
            <v>2025541090002</v>
          </cell>
          <cell r="BP4465">
            <v>100</v>
          </cell>
        </row>
        <row r="4466">
          <cell r="B4466">
            <v>2025541250002</v>
          </cell>
          <cell r="BP4466">
            <v>0</v>
          </cell>
        </row>
        <row r="4467">
          <cell r="B4467">
            <v>2025541720002</v>
          </cell>
          <cell r="BP4467">
            <v>100</v>
          </cell>
        </row>
        <row r="4468">
          <cell r="B4468">
            <v>2025541720004</v>
          </cell>
          <cell r="BP4468">
            <v>60</v>
          </cell>
        </row>
        <row r="4469">
          <cell r="B4469">
            <v>2025541720003</v>
          </cell>
          <cell r="BP4469">
            <v>36.6</v>
          </cell>
        </row>
        <row r="4470">
          <cell r="B4470">
            <v>2025541740001</v>
          </cell>
          <cell r="BP4470">
            <v>89</v>
          </cell>
        </row>
        <row r="4471">
          <cell r="B4471">
            <v>20241301010048</v>
          </cell>
          <cell r="BP4471">
            <v>100</v>
          </cell>
        </row>
        <row r="4472">
          <cell r="B4472">
            <v>2025542060001</v>
          </cell>
          <cell r="BP4472">
            <v>0</v>
          </cell>
        </row>
        <row r="4473">
          <cell r="B4473">
            <v>2026542060001</v>
          </cell>
          <cell r="BP4473">
            <v>0</v>
          </cell>
        </row>
        <row r="4474">
          <cell r="B4474">
            <v>2022540010012</v>
          </cell>
          <cell r="BP4474">
            <v>0</v>
          </cell>
        </row>
        <row r="4475">
          <cell r="B4475">
            <v>2025540010002</v>
          </cell>
          <cell r="BP4475">
            <v>98.4</v>
          </cell>
        </row>
        <row r="4476">
          <cell r="B4476">
            <v>2024540010141</v>
          </cell>
          <cell r="BP4476">
            <v>30</v>
          </cell>
        </row>
        <row r="4477">
          <cell r="B4477">
            <v>2024540010279</v>
          </cell>
          <cell r="BP4477">
            <v>44.5</v>
          </cell>
        </row>
        <row r="4478">
          <cell r="B4478">
            <v>2025542230001</v>
          </cell>
          <cell r="BP4478">
            <v>100</v>
          </cell>
        </row>
        <row r="4479">
          <cell r="B4479">
            <v>2024542390037</v>
          </cell>
          <cell r="BP4479">
            <v>37.6</v>
          </cell>
        </row>
        <row r="4480">
          <cell r="B4480">
            <v>2025542390001</v>
          </cell>
          <cell r="BP4480">
            <v>4</v>
          </cell>
        </row>
        <row r="4481">
          <cell r="B4481">
            <v>2025542390002</v>
          </cell>
          <cell r="BP4481">
            <v>0</v>
          </cell>
        </row>
        <row r="4482">
          <cell r="B4482">
            <v>2026542390001</v>
          </cell>
          <cell r="BP4482">
            <v>100</v>
          </cell>
        </row>
        <row r="4483">
          <cell r="B4483">
            <v>20241301010135</v>
          </cell>
          <cell r="BP4483">
            <v>100</v>
          </cell>
        </row>
        <row r="4484">
          <cell r="B4484">
            <v>2025542450001</v>
          </cell>
          <cell r="BP4484">
            <v>91.2</v>
          </cell>
        </row>
        <row r="4485">
          <cell r="B4485">
            <v>20201301011325</v>
          </cell>
          <cell r="BP4485">
            <v>100</v>
          </cell>
        </row>
        <row r="4486">
          <cell r="B4486">
            <v>2025542500001</v>
          </cell>
          <cell r="BP4486">
            <v>100</v>
          </cell>
        </row>
        <row r="4487">
          <cell r="B4487">
            <v>2025542610002</v>
          </cell>
          <cell r="BP4487">
            <v>90</v>
          </cell>
        </row>
        <row r="4488">
          <cell r="B4488">
            <v>2025542610003</v>
          </cell>
          <cell r="BP4488">
            <v>90</v>
          </cell>
        </row>
        <row r="4489">
          <cell r="B4489">
            <v>2025543130003</v>
          </cell>
          <cell r="BP4489">
            <v>100</v>
          </cell>
        </row>
        <row r="4490">
          <cell r="B4490">
            <v>20231301010046</v>
          </cell>
          <cell r="BP4490">
            <v>40</v>
          </cell>
        </row>
        <row r="4491">
          <cell r="B4491">
            <v>20231301010229</v>
          </cell>
          <cell r="BP4491">
            <v>100</v>
          </cell>
        </row>
        <row r="4492">
          <cell r="B4492" t="str">
            <v>2025Rrom010002</v>
          </cell>
          <cell r="BP4492">
            <v>50</v>
          </cell>
        </row>
        <row r="4493">
          <cell r="B4493">
            <v>2025543850001</v>
          </cell>
          <cell r="BP4493">
            <v>60</v>
          </cell>
        </row>
        <row r="4494">
          <cell r="B4494">
            <v>2025543980001</v>
          </cell>
          <cell r="BP4494">
            <v>50</v>
          </cell>
        </row>
        <row r="4495">
          <cell r="B4495">
            <v>2025543770004</v>
          </cell>
          <cell r="BP4495">
            <v>0</v>
          </cell>
        </row>
        <row r="4496">
          <cell r="B4496">
            <v>2025543770002</v>
          </cell>
          <cell r="BP4496">
            <v>10</v>
          </cell>
        </row>
        <row r="4497">
          <cell r="B4497">
            <v>2025544050001</v>
          </cell>
          <cell r="BP4497">
            <v>60</v>
          </cell>
        </row>
        <row r="4498">
          <cell r="B4498">
            <v>2025544050002</v>
          </cell>
          <cell r="BP4498">
            <v>100</v>
          </cell>
        </row>
        <row r="4499">
          <cell r="B4499">
            <v>2025544050003</v>
          </cell>
          <cell r="BP4499">
            <v>60</v>
          </cell>
        </row>
        <row r="4500">
          <cell r="B4500">
            <v>2025544180001</v>
          </cell>
          <cell r="BP4500">
            <v>100</v>
          </cell>
        </row>
        <row r="4501">
          <cell r="B4501">
            <v>2025544800001</v>
          </cell>
          <cell r="BP4501">
            <v>0</v>
          </cell>
        </row>
        <row r="4502">
          <cell r="B4502" t="str">
            <v>2025M000560002</v>
          </cell>
          <cell r="BP4502">
            <v>89</v>
          </cell>
        </row>
        <row r="4503">
          <cell r="B4503">
            <v>2015000100060</v>
          </cell>
          <cell r="BP4503">
            <v>0</v>
          </cell>
        </row>
        <row r="4504">
          <cell r="B4504">
            <v>2019000050018</v>
          </cell>
          <cell r="BP4504">
            <v>100</v>
          </cell>
        </row>
        <row r="4505">
          <cell r="B4505">
            <v>2019000050058</v>
          </cell>
          <cell r="BP4505">
            <v>0</v>
          </cell>
        </row>
        <row r="4506">
          <cell r="B4506">
            <v>20191301010180</v>
          </cell>
          <cell r="BP4506">
            <v>0</v>
          </cell>
        </row>
        <row r="4507">
          <cell r="B4507">
            <v>20201301010550</v>
          </cell>
          <cell r="BP4507">
            <v>50</v>
          </cell>
        </row>
        <row r="4508">
          <cell r="B4508">
            <v>2023000050010</v>
          </cell>
          <cell r="BP4508">
            <v>0</v>
          </cell>
        </row>
        <row r="4509">
          <cell r="B4509">
            <v>2024004540011</v>
          </cell>
          <cell r="BP4509">
            <v>68</v>
          </cell>
        </row>
        <row r="4510">
          <cell r="B4510">
            <v>2024004540110</v>
          </cell>
          <cell r="BP4510">
            <v>72</v>
          </cell>
        </row>
        <row r="4511">
          <cell r="B4511">
            <v>2024004540111</v>
          </cell>
          <cell r="BP4511">
            <v>100</v>
          </cell>
        </row>
        <row r="4512">
          <cell r="B4512">
            <v>2024004540118</v>
          </cell>
          <cell r="BP4512">
            <v>96.4</v>
          </cell>
        </row>
        <row r="4513">
          <cell r="B4513">
            <v>2025004540001</v>
          </cell>
          <cell r="BP4513">
            <v>91.2</v>
          </cell>
        </row>
        <row r="4514">
          <cell r="B4514">
            <v>2025004540004</v>
          </cell>
          <cell r="BP4514">
            <v>100</v>
          </cell>
        </row>
        <row r="4515">
          <cell r="B4515">
            <v>2025004540005</v>
          </cell>
          <cell r="BP4515">
            <v>100</v>
          </cell>
        </row>
        <row r="4516">
          <cell r="B4516">
            <v>2025004540007</v>
          </cell>
          <cell r="BP4516">
            <v>100</v>
          </cell>
        </row>
        <row r="4517">
          <cell r="B4517">
            <v>2025004540009</v>
          </cell>
          <cell r="BP4517">
            <v>60</v>
          </cell>
        </row>
        <row r="4518">
          <cell r="B4518">
            <v>2025004540012</v>
          </cell>
          <cell r="BP4518">
            <v>100</v>
          </cell>
        </row>
        <row r="4519">
          <cell r="B4519">
            <v>2025004540015</v>
          </cell>
          <cell r="BP4519">
            <v>100</v>
          </cell>
        </row>
        <row r="4520">
          <cell r="B4520">
            <v>2025004540017</v>
          </cell>
          <cell r="BP4520">
            <v>100</v>
          </cell>
        </row>
        <row r="4521">
          <cell r="B4521">
            <v>2025004540024</v>
          </cell>
          <cell r="BP4521">
            <v>60</v>
          </cell>
        </row>
        <row r="4522">
          <cell r="B4522">
            <v>2025004540027</v>
          </cell>
          <cell r="BP4522">
            <v>60</v>
          </cell>
        </row>
        <row r="4523">
          <cell r="B4523">
            <v>2025004540030</v>
          </cell>
          <cell r="BP4523">
            <v>0</v>
          </cell>
        </row>
        <row r="4524">
          <cell r="B4524">
            <v>2021004540086</v>
          </cell>
          <cell r="BP4524">
            <v>100</v>
          </cell>
        </row>
        <row r="4525">
          <cell r="B4525">
            <v>2022004540001</v>
          </cell>
          <cell r="BP4525">
            <v>100</v>
          </cell>
        </row>
        <row r="4526">
          <cell r="B4526">
            <v>2022004540054</v>
          </cell>
          <cell r="BP4526">
            <v>100</v>
          </cell>
        </row>
        <row r="4527">
          <cell r="B4527">
            <v>2023004540002</v>
          </cell>
          <cell r="BP4527">
            <v>100</v>
          </cell>
        </row>
        <row r="4528">
          <cell r="B4528">
            <v>2023004540003</v>
          </cell>
          <cell r="BP4528">
            <v>100</v>
          </cell>
        </row>
        <row r="4529">
          <cell r="B4529">
            <v>2025004540006</v>
          </cell>
          <cell r="BP4529">
            <v>100</v>
          </cell>
        </row>
        <row r="4530">
          <cell r="B4530">
            <v>2025004540018</v>
          </cell>
          <cell r="BP4530">
            <v>92</v>
          </cell>
        </row>
        <row r="4531">
          <cell r="B4531">
            <v>2025004540020</v>
          </cell>
          <cell r="BP4531">
            <v>100</v>
          </cell>
        </row>
        <row r="4532">
          <cell r="B4532">
            <v>2025004540021</v>
          </cell>
          <cell r="BP4532">
            <v>100</v>
          </cell>
        </row>
        <row r="4533">
          <cell r="B4533">
            <v>2025004540022</v>
          </cell>
          <cell r="BP4533">
            <v>100</v>
          </cell>
        </row>
        <row r="4534">
          <cell r="B4534">
            <v>2025004540023</v>
          </cell>
          <cell r="BP4534">
            <v>100</v>
          </cell>
        </row>
        <row r="4535">
          <cell r="B4535">
            <v>2025004540026</v>
          </cell>
          <cell r="BP4535">
            <v>100</v>
          </cell>
        </row>
        <row r="4536">
          <cell r="B4536">
            <v>2025004540037</v>
          </cell>
          <cell r="BP4536">
            <v>100</v>
          </cell>
        </row>
        <row r="4537">
          <cell r="B4537">
            <v>2025004540008</v>
          </cell>
          <cell r="BP4537">
            <v>0</v>
          </cell>
        </row>
        <row r="4538">
          <cell r="B4538">
            <v>2021000100013</v>
          </cell>
          <cell r="BP4538">
            <v>98.4</v>
          </cell>
        </row>
        <row r="4539">
          <cell r="B4539">
            <v>2021000100482</v>
          </cell>
          <cell r="BP4539">
            <v>44.1</v>
          </cell>
        </row>
        <row r="4540">
          <cell r="B4540">
            <v>2025004540014</v>
          </cell>
          <cell r="BP4540">
            <v>90</v>
          </cell>
        </row>
        <row r="4541">
          <cell r="B4541">
            <v>2024004540045</v>
          </cell>
          <cell r="BP4541">
            <v>30</v>
          </cell>
        </row>
        <row r="4542">
          <cell r="B4542">
            <v>2019000100049</v>
          </cell>
          <cell r="BP4542">
            <v>76.8</v>
          </cell>
        </row>
        <row r="4543">
          <cell r="B4543">
            <v>2021000100010</v>
          </cell>
          <cell r="BP4543">
            <v>83.2</v>
          </cell>
        </row>
        <row r="4544">
          <cell r="B4544">
            <v>2024000100020</v>
          </cell>
          <cell r="BP4544">
            <v>80</v>
          </cell>
        </row>
        <row r="4545">
          <cell r="B4545">
            <v>2024000100119</v>
          </cell>
          <cell r="BP4545">
            <v>69.2</v>
          </cell>
        </row>
        <row r="4546">
          <cell r="B4546">
            <v>2023000050004</v>
          </cell>
          <cell r="BP4546">
            <v>100</v>
          </cell>
        </row>
        <row r="4547">
          <cell r="B4547">
            <v>2021000100104</v>
          </cell>
          <cell r="BP4547">
            <v>98.4</v>
          </cell>
        </row>
        <row r="4548">
          <cell r="B4548">
            <v>2025544980001</v>
          </cell>
          <cell r="BP4548">
            <v>44.5</v>
          </cell>
        </row>
        <row r="4549">
          <cell r="B4549">
            <v>2025545180001</v>
          </cell>
          <cell r="BP4549">
            <v>22.4</v>
          </cell>
        </row>
        <row r="4550">
          <cell r="B4550">
            <v>2025545200002</v>
          </cell>
          <cell r="BP4550">
            <v>100</v>
          </cell>
        </row>
        <row r="4551">
          <cell r="B4551">
            <v>2023545530001</v>
          </cell>
          <cell r="BP4551">
            <v>37.6</v>
          </cell>
        </row>
        <row r="4552">
          <cell r="B4552">
            <v>2023546600003</v>
          </cell>
          <cell r="BP4552">
            <v>50</v>
          </cell>
        </row>
        <row r="4553">
          <cell r="B4553">
            <v>2025546600003</v>
          </cell>
          <cell r="BP4553">
            <v>100</v>
          </cell>
        </row>
        <row r="4554">
          <cell r="B4554">
            <v>2025546700001</v>
          </cell>
          <cell r="BP4554">
            <v>100</v>
          </cell>
        </row>
        <row r="4555">
          <cell r="B4555">
            <v>2025546700002</v>
          </cell>
          <cell r="BP4555">
            <v>100</v>
          </cell>
        </row>
        <row r="4556">
          <cell r="B4556">
            <v>2025546800001</v>
          </cell>
          <cell r="BP4556">
            <v>27.5</v>
          </cell>
        </row>
        <row r="4557">
          <cell r="B4557">
            <v>2025546800002</v>
          </cell>
          <cell r="BP4557">
            <v>46.4</v>
          </cell>
        </row>
        <row r="4558">
          <cell r="B4558">
            <v>2025546800003</v>
          </cell>
          <cell r="BP4558">
            <v>96.8</v>
          </cell>
        </row>
        <row r="4559">
          <cell r="B4559">
            <v>2025547200001</v>
          </cell>
          <cell r="BP4559">
            <v>100</v>
          </cell>
        </row>
        <row r="4560">
          <cell r="B4560">
            <v>2025547200004</v>
          </cell>
          <cell r="BP4560">
            <v>92</v>
          </cell>
        </row>
        <row r="4561">
          <cell r="B4561">
            <v>2025547200005</v>
          </cell>
          <cell r="BP4561">
            <v>100</v>
          </cell>
        </row>
        <row r="4562">
          <cell r="B4562">
            <v>20251301010076</v>
          </cell>
          <cell r="BP4562">
            <v>100</v>
          </cell>
        </row>
        <row r="4563">
          <cell r="B4563">
            <v>2025548000001</v>
          </cell>
          <cell r="BP4563">
            <v>100</v>
          </cell>
        </row>
        <row r="4564">
          <cell r="B4564">
            <v>2025548100001</v>
          </cell>
          <cell r="BP4564">
            <v>50</v>
          </cell>
        </row>
        <row r="4565">
          <cell r="B4565">
            <v>2025548100003</v>
          </cell>
          <cell r="BP4565">
            <v>100</v>
          </cell>
        </row>
        <row r="4566">
          <cell r="B4566">
            <v>20241301010308</v>
          </cell>
          <cell r="BP4566">
            <v>100</v>
          </cell>
        </row>
        <row r="4567">
          <cell r="B4567">
            <v>2025548740001</v>
          </cell>
          <cell r="BP4567">
            <v>0</v>
          </cell>
        </row>
        <row r="4568">
          <cell r="B4568">
            <v>2025862190005</v>
          </cell>
          <cell r="BP4568">
            <v>100</v>
          </cell>
        </row>
        <row r="4569">
          <cell r="B4569" t="str">
            <v>2024I00010024</v>
          </cell>
          <cell r="BP4569">
            <v>79.7</v>
          </cell>
        </row>
        <row r="4570">
          <cell r="B4570">
            <v>20193223000002</v>
          </cell>
          <cell r="BP4570">
            <v>31.4</v>
          </cell>
        </row>
        <row r="4571">
          <cell r="B4571">
            <v>20233223000001</v>
          </cell>
          <cell r="BP4571">
            <v>0</v>
          </cell>
        </row>
        <row r="4572">
          <cell r="B4572">
            <v>20243223000004</v>
          </cell>
          <cell r="BP4572">
            <v>81.2</v>
          </cell>
        </row>
        <row r="4573">
          <cell r="B4573">
            <v>20243223000006</v>
          </cell>
          <cell r="BP4573">
            <v>47.8</v>
          </cell>
        </row>
        <row r="4574">
          <cell r="B4574">
            <v>20253223000002</v>
          </cell>
          <cell r="BP4574">
            <v>80</v>
          </cell>
        </row>
        <row r="4575">
          <cell r="B4575">
            <v>20253223000003</v>
          </cell>
          <cell r="BP4575">
            <v>96</v>
          </cell>
        </row>
        <row r="4576">
          <cell r="B4576">
            <v>20253223000005</v>
          </cell>
          <cell r="BP4576">
            <v>100</v>
          </cell>
        </row>
        <row r="4577">
          <cell r="B4577">
            <v>20211301010154</v>
          </cell>
          <cell r="BP4577">
            <v>100</v>
          </cell>
        </row>
        <row r="4578">
          <cell r="B4578">
            <v>20241301010091</v>
          </cell>
          <cell r="BP4578">
            <v>0</v>
          </cell>
        </row>
        <row r="4579">
          <cell r="B4579">
            <v>2025865730005</v>
          </cell>
          <cell r="BP4579">
            <v>96.8</v>
          </cell>
        </row>
        <row r="4580">
          <cell r="B4580">
            <v>2025865730006</v>
          </cell>
          <cell r="BP4580">
            <v>60</v>
          </cell>
        </row>
        <row r="4581">
          <cell r="B4581">
            <v>2023860010141</v>
          </cell>
          <cell r="BP4581">
            <v>100</v>
          </cell>
        </row>
        <row r="4582">
          <cell r="B4582">
            <v>2025860010004</v>
          </cell>
          <cell r="BP4582">
            <v>71.599999999999994</v>
          </cell>
        </row>
        <row r="4583">
          <cell r="B4583">
            <v>2025860010005</v>
          </cell>
          <cell r="BP4583">
            <v>100</v>
          </cell>
        </row>
        <row r="4584">
          <cell r="B4584">
            <v>2025860010011</v>
          </cell>
          <cell r="BP4584">
            <v>73.3</v>
          </cell>
        </row>
        <row r="4585">
          <cell r="B4585">
            <v>20211301012324</v>
          </cell>
          <cell r="BP4585">
            <v>92.4</v>
          </cell>
        </row>
        <row r="4586">
          <cell r="B4586">
            <v>2022860010032</v>
          </cell>
          <cell r="BP4586">
            <v>50</v>
          </cell>
        </row>
        <row r="4587">
          <cell r="B4587">
            <v>2019860010028</v>
          </cell>
          <cell r="BP4587">
            <v>0</v>
          </cell>
        </row>
        <row r="4588">
          <cell r="B4588">
            <v>2019860010037</v>
          </cell>
          <cell r="BP4588">
            <v>0</v>
          </cell>
        </row>
        <row r="4589">
          <cell r="B4589">
            <v>20251301010522</v>
          </cell>
          <cell r="BP4589">
            <v>56</v>
          </cell>
        </row>
        <row r="4590">
          <cell r="B4590">
            <v>2025863200001</v>
          </cell>
          <cell r="BP4590">
            <v>0</v>
          </cell>
        </row>
        <row r="4591">
          <cell r="B4591">
            <v>2025863200002</v>
          </cell>
          <cell r="BP4591">
            <v>26.7</v>
          </cell>
        </row>
        <row r="4592">
          <cell r="B4592">
            <v>2025863200007</v>
          </cell>
          <cell r="BP4592">
            <v>8.9</v>
          </cell>
        </row>
        <row r="4593">
          <cell r="B4593">
            <v>2025863200009</v>
          </cell>
          <cell r="BP4593">
            <v>0</v>
          </cell>
        </row>
        <row r="4594">
          <cell r="B4594">
            <v>2025863200010</v>
          </cell>
          <cell r="BP4594">
            <v>29.5</v>
          </cell>
        </row>
        <row r="4595">
          <cell r="B4595">
            <v>2025863200016</v>
          </cell>
          <cell r="BP4595">
            <v>8.9</v>
          </cell>
        </row>
        <row r="4596">
          <cell r="B4596">
            <v>2025863200017</v>
          </cell>
          <cell r="BP4596">
            <v>80.3</v>
          </cell>
        </row>
        <row r="4597">
          <cell r="B4597">
            <v>20201301010806</v>
          </cell>
          <cell r="BP4597">
            <v>100</v>
          </cell>
        </row>
        <row r="4598">
          <cell r="B4598">
            <v>20231301010113</v>
          </cell>
          <cell r="BP4598">
            <v>60</v>
          </cell>
        </row>
        <row r="4599">
          <cell r="B4599">
            <v>2025863200008</v>
          </cell>
          <cell r="BP4599">
            <v>40</v>
          </cell>
        </row>
        <row r="4600">
          <cell r="B4600">
            <v>20251301010213</v>
          </cell>
          <cell r="BP4600">
            <v>0</v>
          </cell>
        </row>
        <row r="4601">
          <cell r="B4601">
            <v>20241301010165</v>
          </cell>
          <cell r="BP4601">
            <v>100</v>
          </cell>
        </row>
        <row r="4602">
          <cell r="B4602">
            <v>2025865680002</v>
          </cell>
          <cell r="BP4602">
            <v>100</v>
          </cell>
        </row>
        <row r="4603">
          <cell r="B4603">
            <v>2025865680007</v>
          </cell>
          <cell r="BP4603">
            <v>100</v>
          </cell>
        </row>
        <row r="4604">
          <cell r="B4604">
            <v>2025865680009</v>
          </cell>
          <cell r="BP4604">
            <v>100</v>
          </cell>
        </row>
        <row r="4605">
          <cell r="B4605">
            <v>20211301012356</v>
          </cell>
          <cell r="BP4605">
            <v>40</v>
          </cell>
        </row>
        <row r="4606">
          <cell r="B4606">
            <v>20241301010065</v>
          </cell>
          <cell r="BP4606">
            <v>85.2</v>
          </cell>
        </row>
        <row r="4607">
          <cell r="B4607">
            <v>2017865680007</v>
          </cell>
          <cell r="BP4607">
            <v>0</v>
          </cell>
        </row>
        <row r="4608">
          <cell r="B4608">
            <v>20211301010077</v>
          </cell>
          <cell r="BP4608">
            <v>50</v>
          </cell>
        </row>
        <row r="4609">
          <cell r="B4609">
            <v>20211301011252</v>
          </cell>
          <cell r="BP4609">
            <v>0</v>
          </cell>
        </row>
        <row r="4610">
          <cell r="B4610">
            <v>2025865680003</v>
          </cell>
          <cell r="BP4610">
            <v>50</v>
          </cell>
        </row>
        <row r="4611">
          <cell r="B4611">
            <v>20201301011196</v>
          </cell>
          <cell r="BP4611">
            <v>0</v>
          </cell>
        </row>
        <row r="4612">
          <cell r="B4612">
            <v>20231301010196</v>
          </cell>
          <cell r="BP4612">
            <v>100</v>
          </cell>
        </row>
        <row r="4613">
          <cell r="B4613">
            <v>20201301010281</v>
          </cell>
          <cell r="BP4613">
            <v>28</v>
          </cell>
        </row>
        <row r="4614">
          <cell r="B4614">
            <v>2025865710008</v>
          </cell>
          <cell r="BP4614">
            <v>0</v>
          </cell>
        </row>
        <row r="4615">
          <cell r="B4615">
            <v>20201301011851</v>
          </cell>
          <cell r="BP4615">
            <v>12</v>
          </cell>
        </row>
        <row r="4616">
          <cell r="B4616">
            <v>2024865710109</v>
          </cell>
          <cell r="BP4616">
            <v>0</v>
          </cell>
        </row>
        <row r="4617">
          <cell r="B4617">
            <v>2025865710009</v>
          </cell>
          <cell r="BP4617">
            <v>46.4</v>
          </cell>
        </row>
        <row r="4618">
          <cell r="B4618">
            <v>2025865710015</v>
          </cell>
          <cell r="BP4618">
            <v>0</v>
          </cell>
        </row>
        <row r="4619">
          <cell r="B4619">
            <v>2025865710006</v>
          </cell>
          <cell r="BP4619">
            <v>60</v>
          </cell>
        </row>
        <row r="4620">
          <cell r="B4620">
            <v>2023000100011</v>
          </cell>
          <cell r="BP4620">
            <v>100</v>
          </cell>
        </row>
        <row r="4621">
          <cell r="B4621">
            <v>2019000100047</v>
          </cell>
          <cell r="BP4621">
            <v>49.8</v>
          </cell>
        </row>
        <row r="4622">
          <cell r="B4622">
            <v>2022000100017</v>
          </cell>
          <cell r="BP4622">
            <v>50</v>
          </cell>
        </row>
        <row r="4623">
          <cell r="B4623">
            <v>2022000100043</v>
          </cell>
          <cell r="BP4623">
            <v>33.5</v>
          </cell>
        </row>
        <row r="4624">
          <cell r="B4624">
            <v>2015000100085</v>
          </cell>
          <cell r="BP4624">
            <v>17.5</v>
          </cell>
        </row>
        <row r="4625">
          <cell r="B4625">
            <v>2018000060024</v>
          </cell>
          <cell r="BP4625">
            <v>0</v>
          </cell>
        </row>
        <row r="4626">
          <cell r="B4626">
            <v>2020000060040</v>
          </cell>
          <cell r="BP4626">
            <v>100</v>
          </cell>
        </row>
        <row r="4627">
          <cell r="B4627">
            <v>2024006860128</v>
          </cell>
          <cell r="BP4627">
            <v>100</v>
          </cell>
        </row>
        <row r="4628">
          <cell r="B4628">
            <v>2024006860132</v>
          </cell>
          <cell r="BP4628">
            <v>80</v>
          </cell>
        </row>
        <row r="4629">
          <cell r="B4629">
            <v>2024006860155</v>
          </cell>
          <cell r="BP4629">
            <v>50</v>
          </cell>
        </row>
        <row r="4630">
          <cell r="B4630">
            <v>2025006860035</v>
          </cell>
          <cell r="BP4630">
            <v>30</v>
          </cell>
        </row>
        <row r="4631">
          <cell r="B4631">
            <v>2026006860002</v>
          </cell>
          <cell r="BP4631">
            <v>40</v>
          </cell>
        </row>
        <row r="4632">
          <cell r="B4632">
            <v>2019000060053</v>
          </cell>
          <cell r="BP4632">
            <v>25.5</v>
          </cell>
        </row>
        <row r="4633">
          <cell r="B4633">
            <v>20201301011658</v>
          </cell>
          <cell r="BP4633">
            <v>29</v>
          </cell>
        </row>
        <row r="4634">
          <cell r="B4634">
            <v>2025006860043</v>
          </cell>
          <cell r="BP4634">
            <v>100</v>
          </cell>
        </row>
        <row r="4635">
          <cell r="B4635">
            <v>2025006860049</v>
          </cell>
          <cell r="BP4635">
            <v>100</v>
          </cell>
        </row>
        <row r="4636">
          <cell r="B4636">
            <v>2020000060039</v>
          </cell>
          <cell r="BP4636">
            <v>0</v>
          </cell>
        </row>
        <row r="4637">
          <cell r="B4637">
            <v>2018000060052</v>
          </cell>
          <cell r="BP4637">
            <v>100</v>
          </cell>
        </row>
        <row r="4638">
          <cell r="B4638">
            <v>2023000060030</v>
          </cell>
          <cell r="BP4638">
            <v>0</v>
          </cell>
        </row>
        <row r="4639">
          <cell r="B4639">
            <v>2024006860364</v>
          </cell>
          <cell r="BP4639">
            <v>3.6</v>
          </cell>
        </row>
        <row r="4640">
          <cell r="B4640">
            <v>2021000100537</v>
          </cell>
          <cell r="BP4640">
            <v>18.899999999999999</v>
          </cell>
        </row>
        <row r="4641">
          <cell r="B4641">
            <v>2024006860349</v>
          </cell>
          <cell r="BP4641">
            <v>60</v>
          </cell>
        </row>
        <row r="4642">
          <cell r="B4642">
            <v>20211301010931</v>
          </cell>
          <cell r="BP4642">
            <v>0</v>
          </cell>
        </row>
        <row r="4643">
          <cell r="B4643">
            <v>2018000060015</v>
          </cell>
          <cell r="BP4643">
            <v>97.6</v>
          </cell>
        </row>
        <row r="4644">
          <cell r="B4644">
            <v>2025006860011</v>
          </cell>
          <cell r="BP4644">
            <v>100</v>
          </cell>
        </row>
        <row r="4645">
          <cell r="B4645">
            <v>2025863200004</v>
          </cell>
          <cell r="BP4645">
            <v>100</v>
          </cell>
        </row>
        <row r="4646">
          <cell r="B4646">
            <v>2023006860054</v>
          </cell>
          <cell r="BP4646">
            <v>10</v>
          </cell>
        </row>
        <row r="4647">
          <cell r="B4647">
            <v>2024006860301</v>
          </cell>
          <cell r="BP4647">
            <v>84.2</v>
          </cell>
        </row>
        <row r="4648">
          <cell r="B4648">
            <v>2024006860352</v>
          </cell>
          <cell r="BP4648">
            <v>40</v>
          </cell>
        </row>
        <row r="4649">
          <cell r="B4649">
            <v>2022867600149</v>
          </cell>
          <cell r="BP4649">
            <v>23.5</v>
          </cell>
        </row>
        <row r="4650">
          <cell r="B4650">
            <v>2023867600064</v>
          </cell>
          <cell r="BP4650">
            <v>100</v>
          </cell>
        </row>
        <row r="4651">
          <cell r="B4651">
            <v>2025006860031</v>
          </cell>
          <cell r="BP4651">
            <v>100</v>
          </cell>
        </row>
        <row r="4652">
          <cell r="B4652">
            <v>2025868650011</v>
          </cell>
          <cell r="BP4652">
            <v>100</v>
          </cell>
        </row>
        <row r="4653">
          <cell r="B4653">
            <v>2021006860311</v>
          </cell>
          <cell r="BP4653">
            <v>20</v>
          </cell>
        </row>
        <row r="4654">
          <cell r="B4654">
            <v>20221301010196</v>
          </cell>
          <cell r="BP4654">
            <v>0</v>
          </cell>
        </row>
        <row r="4655">
          <cell r="B4655">
            <v>2024006860348</v>
          </cell>
          <cell r="BP4655">
            <v>37.4</v>
          </cell>
        </row>
        <row r="4656">
          <cell r="B4656">
            <v>2024006860351</v>
          </cell>
          <cell r="BP4656">
            <v>50</v>
          </cell>
        </row>
        <row r="4657">
          <cell r="B4657">
            <v>2024006860354</v>
          </cell>
          <cell r="BP4657">
            <v>100</v>
          </cell>
        </row>
        <row r="4658">
          <cell r="B4658">
            <v>2024006860355</v>
          </cell>
          <cell r="BP4658">
            <v>0</v>
          </cell>
        </row>
        <row r="4659">
          <cell r="B4659">
            <v>2024006860356</v>
          </cell>
          <cell r="BP4659">
            <v>0</v>
          </cell>
        </row>
        <row r="4660">
          <cell r="B4660">
            <v>2024006860358</v>
          </cell>
          <cell r="BP4660">
            <v>98.4</v>
          </cell>
        </row>
        <row r="4661">
          <cell r="B4661">
            <v>2024006860359</v>
          </cell>
          <cell r="BP4661">
            <v>38.799999999999997</v>
          </cell>
        </row>
        <row r="4662">
          <cell r="B4662">
            <v>2024006860361</v>
          </cell>
          <cell r="BP4662">
            <v>10</v>
          </cell>
        </row>
        <row r="4663">
          <cell r="B4663">
            <v>2025006860014</v>
          </cell>
          <cell r="BP4663">
            <v>60</v>
          </cell>
        </row>
        <row r="4664">
          <cell r="B4664">
            <v>2025006860017</v>
          </cell>
          <cell r="BP4664">
            <v>66.400000000000006</v>
          </cell>
        </row>
        <row r="4665">
          <cell r="B4665">
            <v>2025006860018</v>
          </cell>
          <cell r="BP4665">
            <v>0</v>
          </cell>
        </row>
        <row r="4666">
          <cell r="B4666">
            <v>2025006860019</v>
          </cell>
          <cell r="BP4666">
            <v>0</v>
          </cell>
        </row>
        <row r="4667">
          <cell r="B4667">
            <v>2025006860023</v>
          </cell>
          <cell r="BP4667">
            <v>60</v>
          </cell>
        </row>
        <row r="4668">
          <cell r="B4668">
            <v>2025006860029</v>
          </cell>
          <cell r="BP4668">
            <v>81.2</v>
          </cell>
        </row>
        <row r="4669">
          <cell r="B4669">
            <v>2025006860045</v>
          </cell>
          <cell r="BP4669">
            <v>100</v>
          </cell>
        </row>
        <row r="4670">
          <cell r="B4670">
            <v>2025868650012</v>
          </cell>
          <cell r="BP4670">
            <v>100</v>
          </cell>
        </row>
        <row r="4671">
          <cell r="B4671">
            <v>2022000060009</v>
          </cell>
          <cell r="BP4671">
            <v>53.4</v>
          </cell>
        </row>
        <row r="4672">
          <cell r="B4672">
            <v>2022006860249</v>
          </cell>
          <cell r="BP4672">
            <v>100</v>
          </cell>
        </row>
        <row r="4673">
          <cell r="B4673">
            <v>2022006860448</v>
          </cell>
          <cell r="BP4673">
            <v>100</v>
          </cell>
        </row>
        <row r="4674">
          <cell r="B4674">
            <v>2023006860220</v>
          </cell>
          <cell r="BP4674">
            <v>89</v>
          </cell>
        </row>
        <row r="4675">
          <cell r="B4675">
            <v>2024006860360</v>
          </cell>
          <cell r="BP4675">
            <v>43.8</v>
          </cell>
        </row>
        <row r="4676">
          <cell r="B4676">
            <v>2025006860008</v>
          </cell>
          <cell r="BP4676">
            <v>86.8</v>
          </cell>
        </row>
        <row r="4677">
          <cell r="B4677">
            <v>2021000100008</v>
          </cell>
          <cell r="BP4677">
            <v>100</v>
          </cell>
        </row>
        <row r="4678">
          <cell r="B4678">
            <v>2021000100216</v>
          </cell>
          <cell r="BP4678">
            <v>100</v>
          </cell>
        </row>
        <row r="4679">
          <cell r="B4679">
            <v>2024000100026</v>
          </cell>
          <cell r="BP4679">
            <v>100</v>
          </cell>
        </row>
        <row r="4680">
          <cell r="B4680">
            <v>2021000100124</v>
          </cell>
          <cell r="BP4680">
            <v>100</v>
          </cell>
        </row>
        <row r="4681">
          <cell r="B4681" t="str">
            <v>2023I00010064</v>
          </cell>
          <cell r="BP4681">
            <v>22.4</v>
          </cell>
        </row>
        <row r="4682">
          <cell r="B4682">
            <v>2022867570041</v>
          </cell>
          <cell r="BP4682">
            <v>100</v>
          </cell>
        </row>
        <row r="4683">
          <cell r="B4683">
            <v>2025867570009</v>
          </cell>
          <cell r="BP4683">
            <v>100</v>
          </cell>
        </row>
        <row r="4684">
          <cell r="B4684">
            <v>2024867570056</v>
          </cell>
          <cell r="BP4684">
            <v>100</v>
          </cell>
        </row>
        <row r="4685">
          <cell r="B4685">
            <v>2024867570087</v>
          </cell>
          <cell r="BP4685">
            <v>90</v>
          </cell>
        </row>
        <row r="4686">
          <cell r="B4686">
            <v>2023867600182</v>
          </cell>
          <cell r="BP4686">
            <v>0</v>
          </cell>
        </row>
        <row r="4687">
          <cell r="B4687">
            <v>2023867600199</v>
          </cell>
          <cell r="BP4687">
            <v>0</v>
          </cell>
        </row>
        <row r="4688">
          <cell r="B4688">
            <v>2023867600238</v>
          </cell>
          <cell r="BP4688">
            <v>0</v>
          </cell>
        </row>
        <row r="4689">
          <cell r="B4689">
            <v>2024867600092</v>
          </cell>
          <cell r="BP4689">
            <v>0</v>
          </cell>
        </row>
        <row r="4690">
          <cell r="B4690">
            <v>2025867600001</v>
          </cell>
          <cell r="BP4690">
            <v>0</v>
          </cell>
        </row>
        <row r="4691">
          <cell r="B4691">
            <v>2025867600002</v>
          </cell>
          <cell r="BP4691">
            <v>0</v>
          </cell>
        </row>
        <row r="4692">
          <cell r="B4692">
            <v>2025867490003</v>
          </cell>
          <cell r="BP4692">
            <v>100</v>
          </cell>
        </row>
        <row r="4693">
          <cell r="B4693">
            <v>2025868650017</v>
          </cell>
          <cell r="BP4693">
            <v>0</v>
          </cell>
        </row>
        <row r="4694">
          <cell r="B4694">
            <v>2026868650001</v>
          </cell>
          <cell r="BP4694">
            <v>100</v>
          </cell>
        </row>
        <row r="4695">
          <cell r="B4695">
            <v>20191301010271</v>
          </cell>
          <cell r="BP4695">
            <v>100</v>
          </cell>
        </row>
        <row r="4696">
          <cell r="B4696">
            <v>20191301010342</v>
          </cell>
          <cell r="BP4696">
            <v>100</v>
          </cell>
        </row>
        <row r="4697">
          <cell r="B4697">
            <v>20201301012064</v>
          </cell>
          <cell r="BP4697">
            <v>0</v>
          </cell>
        </row>
        <row r="4698">
          <cell r="B4698">
            <v>2024868650067</v>
          </cell>
          <cell r="BP4698">
            <v>100</v>
          </cell>
        </row>
        <row r="4699">
          <cell r="B4699">
            <v>20201301010815</v>
          </cell>
          <cell r="BP4699">
            <v>60</v>
          </cell>
        </row>
        <row r="4700">
          <cell r="B4700">
            <v>20201301011378</v>
          </cell>
          <cell r="BP4700">
            <v>0</v>
          </cell>
        </row>
        <row r="4701">
          <cell r="B4701">
            <v>2025868850005</v>
          </cell>
          <cell r="BP4701">
            <v>85.4</v>
          </cell>
        </row>
        <row r="4702">
          <cell r="B4702">
            <v>2025868850010</v>
          </cell>
          <cell r="BP4702">
            <v>40</v>
          </cell>
        </row>
        <row r="4703">
          <cell r="B4703">
            <v>20211301010918</v>
          </cell>
          <cell r="BP4703">
            <v>0</v>
          </cell>
        </row>
        <row r="4704">
          <cell r="B4704">
            <v>2025868850003</v>
          </cell>
          <cell r="BP4704">
            <v>33.5</v>
          </cell>
        </row>
        <row r="4705">
          <cell r="B4705">
            <v>2025868850004</v>
          </cell>
          <cell r="BP4705">
            <v>0</v>
          </cell>
        </row>
        <row r="4706">
          <cell r="B4706">
            <v>2025868850006</v>
          </cell>
          <cell r="BP4706">
            <v>90</v>
          </cell>
        </row>
        <row r="4707">
          <cell r="B4707">
            <v>2023868850095</v>
          </cell>
          <cell r="BP4707">
            <v>100</v>
          </cell>
        </row>
        <row r="4708">
          <cell r="B4708">
            <v>2024631110028</v>
          </cell>
          <cell r="BP4708">
            <v>100</v>
          </cell>
        </row>
        <row r="4709">
          <cell r="B4709">
            <v>2025631300001</v>
          </cell>
          <cell r="BP4709">
            <v>100</v>
          </cell>
        </row>
        <row r="4710">
          <cell r="B4710">
            <v>2023632120001</v>
          </cell>
          <cell r="BP4710">
            <v>73.2</v>
          </cell>
        </row>
        <row r="4711">
          <cell r="B4711">
            <v>2025631900001</v>
          </cell>
          <cell r="BP4711">
            <v>100</v>
          </cell>
        </row>
        <row r="4712">
          <cell r="B4712">
            <v>2025632120002</v>
          </cell>
          <cell r="BP4712">
            <v>89</v>
          </cell>
        </row>
        <row r="4713">
          <cell r="B4713">
            <v>2025632720003</v>
          </cell>
          <cell r="BP4713">
            <v>70.8</v>
          </cell>
        </row>
        <row r="4714">
          <cell r="B4714">
            <v>2025632720001</v>
          </cell>
          <cell r="BP4714">
            <v>100</v>
          </cell>
        </row>
        <row r="4715">
          <cell r="B4715">
            <v>2025633020003</v>
          </cell>
          <cell r="BP4715">
            <v>100</v>
          </cell>
        </row>
        <row r="4716">
          <cell r="B4716">
            <v>2025634700002</v>
          </cell>
          <cell r="BP4716">
            <v>60</v>
          </cell>
        </row>
        <row r="4717">
          <cell r="B4717">
            <v>2025634700003</v>
          </cell>
          <cell r="BP4717">
            <v>88.4</v>
          </cell>
        </row>
        <row r="4718">
          <cell r="B4718">
            <v>2024634700004</v>
          </cell>
          <cell r="BP4718">
            <v>60</v>
          </cell>
        </row>
        <row r="4719">
          <cell r="B4719">
            <v>2024634700007</v>
          </cell>
          <cell r="BP4719">
            <v>71</v>
          </cell>
        </row>
        <row r="4720">
          <cell r="B4720">
            <v>2024635480051</v>
          </cell>
          <cell r="BP4720">
            <v>36.5</v>
          </cell>
        </row>
        <row r="4721">
          <cell r="B4721">
            <v>2025635480001</v>
          </cell>
          <cell r="BP4721">
            <v>100</v>
          </cell>
        </row>
        <row r="4722">
          <cell r="B4722">
            <v>2025635940002</v>
          </cell>
          <cell r="BP4722">
            <v>100</v>
          </cell>
        </row>
        <row r="4723">
          <cell r="B4723">
            <v>2025635940004</v>
          </cell>
          <cell r="BP4723">
            <v>100</v>
          </cell>
        </row>
        <row r="4724">
          <cell r="B4724">
            <v>2025635940003</v>
          </cell>
          <cell r="BP4724">
            <v>88.3</v>
          </cell>
        </row>
        <row r="4725">
          <cell r="B4725">
            <v>2024003630146</v>
          </cell>
          <cell r="BP4725">
            <v>100</v>
          </cell>
        </row>
        <row r="4726">
          <cell r="B4726">
            <v>2013000100199</v>
          </cell>
          <cell r="BP4726">
            <v>9.8000000000000007</v>
          </cell>
        </row>
        <row r="4727">
          <cell r="B4727">
            <v>2016000040028</v>
          </cell>
          <cell r="BP4727">
            <v>46.5</v>
          </cell>
        </row>
        <row r="4728">
          <cell r="B4728">
            <v>2018000040014</v>
          </cell>
          <cell r="BP4728">
            <v>90</v>
          </cell>
        </row>
        <row r="4729">
          <cell r="B4729">
            <v>2018000040015</v>
          </cell>
          <cell r="BP4729">
            <v>97.2</v>
          </cell>
        </row>
        <row r="4730">
          <cell r="B4730">
            <v>2019000040008</v>
          </cell>
          <cell r="BP4730">
            <v>100</v>
          </cell>
        </row>
        <row r="4731">
          <cell r="B4731">
            <v>2019000040046</v>
          </cell>
          <cell r="BP4731">
            <v>100</v>
          </cell>
        </row>
        <row r="4732">
          <cell r="B4732">
            <v>2022003630014</v>
          </cell>
          <cell r="BP4732">
            <v>100</v>
          </cell>
        </row>
        <row r="4733">
          <cell r="B4733">
            <v>2023003630002</v>
          </cell>
          <cell r="BP4733">
            <v>100</v>
          </cell>
        </row>
        <row r="4734">
          <cell r="B4734">
            <v>2024003630126</v>
          </cell>
          <cell r="BP4734">
            <v>100</v>
          </cell>
        </row>
        <row r="4735">
          <cell r="B4735">
            <v>2025003630004</v>
          </cell>
          <cell r="BP4735">
            <v>100</v>
          </cell>
        </row>
        <row r="4736">
          <cell r="B4736">
            <v>2024000040018</v>
          </cell>
          <cell r="BP4736">
            <v>100</v>
          </cell>
        </row>
        <row r="4737">
          <cell r="B4737">
            <v>2023003630005</v>
          </cell>
          <cell r="BP4737">
            <v>100</v>
          </cell>
        </row>
        <row r="4738">
          <cell r="B4738">
            <v>2024000040010</v>
          </cell>
          <cell r="BP4738">
            <v>100</v>
          </cell>
        </row>
        <row r="4739">
          <cell r="B4739">
            <v>2024003630002</v>
          </cell>
          <cell r="BP4739">
            <v>100</v>
          </cell>
        </row>
        <row r="4740">
          <cell r="B4740">
            <v>2024003630149</v>
          </cell>
          <cell r="BP4740">
            <v>96</v>
          </cell>
        </row>
        <row r="4741">
          <cell r="B4741">
            <v>2024003630151</v>
          </cell>
          <cell r="BP4741">
            <v>82</v>
          </cell>
        </row>
        <row r="4742">
          <cell r="B4742">
            <v>2024003630152</v>
          </cell>
          <cell r="BP4742">
            <v>100</v>
          </cell>
        </row>
        <row r="4743">
          <cell r="B4743">
            <v>2024003630153</v>
          </cell>
          <cell r="BP4743">
            <v>100</v>
          </cell>
        </row>
        <row r="4744">
          <cell r="B4744">
            <v>2025003630001</v>
          </cell>
          <cell r="BP4744">
            <v>100</v>
          </cell>
        </row>
        <row r="4745">
          <cell r="B4745">
            <v>2025003630002</v>
          </cell>
          <cell r="BP4745">
            <v>100</v>
          </cell>
        </row>
        <row r="4746">
          <cell r="B4746">
            <v>2020000100379</v>
          </cell>
          <cell r="BP4746">
            <v>100</v>
          </cell>
        </row>
        <row r="4747">
          <cell r="B4747">
            <v>2021000100096</v>
          </cell>
          <cell r="BP4747">
            <v>66.400000000000006</v>
          </cell>
        </row>
        <row r="4748">
          <cell r="B4748">
            <v>2021000100325</v>
          </cell>
          <cell r="BP4748">
            <v>100</v>
          </cell>
        </row>
        <row r="4749">
          <cell r="B4749">
            <v>2021000100358</v>
          </cell>
          <cell r="BP4749">
            <v>100</v>
          </cell>
        </row>
        <row r="4750">
          <cell r="B4750">
            <v>2021000100495</v>
          </cell>
          <cell r="BP4750">
            <v>100</v>
          </cell>
        </row>
        <row r="4751">
          <cell r="B4751">
            <v>2024000100034</v>
          </cell>
          <cell r="BP4751">
            <v>100</v>
          </cell>
        </row>
        <row r="4752">
          <cell r="B4752">
            <v>2025636900001</v>
          </cell>
          <cell r="BP4752">
            <v>100</v>
          </cell>
        </row>
        <row r="4753">
          <cell r="B4753">
            <v>2025636900002</v>
          </cell>
          <cell r="BP4753">
            <v>30</v>
          </cell>
        </row>
        <row r="4754">
          <cell r="B4754">
            <v>2025636900003</v>
          </cell>
          <cell r="BP4754">
            <v>100</v>
          </cell>
        </row>
        <row r="4755">
          <cell r="B4755">
            <v>2023660450002</v>
          </cell>
          <cell r="BP4755">
            <v>0</v>
          </cell>
        </row>
        <row r="4756">
          <cell r="B4756">
            <v>2013660450001</v>
          </cell>
          <cell r="BP4756">
            <v>0</v>
          </cell>
        </row>
        <row r="4757">
          <cell r="B4757">
            <v>2023660450003</v>
          </cell>
          <cell r="BP4757">
            <v>36</v>
          </cell>
        </row>
        <row r="4758">
          <cell r="B4758">
            <v>2025660750001</v>
          </cell>
          <cell r="BP4758">
            <v>60</v>
          </cell>
        </row>
        <row r="4759">
          <cell r="B4759">
            <v>2025660750002</v>
          </cell>
          <cell r="BP4759">
            <v>89.2</v>
          </cell>
        </row>
        <row r="4760">
          <cell r="B4760">
            <v>2018660750002</v>
          </cell>
          <cell r="BP4760">
            <v>0</v>
          </cell>
        </row>
        <row r="4761">
          <cell r="B4761">
            <v>2025663180001</v>
          </cell>
          <cell r="BP4761">
            <v>100</v>
          </cell>
        </row>
        <row r="4762">
          <cell r="B4762">
            <v>2024663830021</v>
          </cell>
          <cell r="BP4762">
            <v>29</v>
          </cell>
        </row>
        <row r="4763">
          <cell r="B4763">
            <v>2025664000001</v>
          </cell>
          <cell r="BP4763">
            <v>100</v>
          </cell>
        </row>
        <row r="4764">
          <cell r="B4764">
            <v>2025664000002</v>
          </cell>
          <cell r="BP4764">
            <v>0</v>
          </cell>
        </row>
        <row r="4765">
          <cell r="B4765">
            <v>2025664000003</v>
          </cell>
          <cell r="BP4765">
            <v>0</v>
          </cell>
        </row>
        <row r="4766">
          <cell r="B4766">
            <v>2021000040007</v>
          </cell>
          <cell r="BP4766">
            <v>90</v>
          </cell>
        </row>
        <row r="4767">
          <cell r="B4767">
            <v>2020664400001</v>
          </cell>
          <cell r="BP4767">
            <v>0</v>
          </cell>
        </row>
        <row r="4768">
          <cell r="B4768">
            <v>2025664560002</v>
          </cell>
          <cell r="BP4768">
            <v>85.6</v>
          </cell>
        </row>
        <row r="4769">
          <cell r="B4769">
            <v>2026664560001</v>
          </cell>
          <cell r="BP4769">
            <v>60</v>
          </cell>
        </row>
        <row r="4770">
          <cell r="B4770">
            <v>2021660010056</v>
          </cell>
          <cell r="BP4770">
            <v>100</v>
          </cell>
        </row>
        <row r="4771">
          <cell r="B4771">
            <v>2025665720004</v>
          </cell>
          <cell r="BP4771">
            <v>50</v>
          </cell>
        </row>
        <row r="4772">
          <cell r="B4772">
            <v>2026665720001</v>
          </cell>
          <cell r="BP4772">
            <v>0</v>
          </cell>
        </row>
        <row r="4773">
          <cell r="B4773">
            <v>2023003660037</v>
          </cell>
          <cell r="BP4773">
            <v>100</v>
          </cell>
        </row>
        <row r="4774">
          <cell r="B4774">
            <v>2025665940001</v>
          </cell>
          <cell r="BP4774">
            <v>60</v>
          </cell>
        </row>
        <row r="4775">
          <cell r="B4775">
            <v>2025665940002</v>
          </cell>
          <cell r="BP4775">
            <v>100</v>
          </cell>
        </row>
        <row r="4776">
          <cell r="B4776">
            <v>2021000040029</v>
          </cell>
          <cell r="BP4776">
            <v>53.4</v>
          </cell>
        </row>
        <row r="4777">
          <cell r="B4777">
            <v>2023003660041</v>
          </cell>
          <cell r="BP4777">
            <v>85.4</v>
          </cell>
        </row>
        <row r="4778">
          <cell r="B4778">
            <v>2024000100011</v>
          </cell>
          <cell r="BP4778">
            <v>100</v>
          </cell>
        </row>
        <row r="4779">
          <cell r="B4779">
            <v>2018000040030</v>
          </cell>
          <cell r="BP4779">
            <v>0</v>
          </cell>
        </row>
        <row r="4780">
          <cell r="B4780">
            <v>2018000100034</v>
          </cell>
          <cell r="BP4780">
            <v>4.5</v>
          </cell>
        </row>
        <row r="4781">
          <cell r="B4781">
            <v>2019003660023</v>
          </cell>
          <cell r="BP4781">
            <v>29</v>
          </cell>
        </row>
        <row r="4782">
          <cell r="B4782">
            <v>2022003660008</v>
          </cell>
          <cell r="BP4782">
            <v>43.8</v>
          </cell>
        </row>
        <row r="4783">
          <cell r="B4783">
            <v>2023000040007</v>
          </cell>
          <cell r="BP4783">
            <v>91.2</v>
          </cell>
        </row>
        <row r="4784">
          <cell r="B4784">
            <v>2024003660069</v>
          </cell>
          <cell r="BP4784">
            <v>100</v>
          </cell>
        </row>
        <row r="4785">
          <cell r="B4785">
            <v>2024003660073</v>
          </cell>
          <cell r="BP4785">
            <v>60</v>
          </cell>
        </row>
        <row r="4786">
          <cell r="B4786">
            <v>2024003660076</v>
          </cell>
          <cell r="BP4786">
            <v>100</v>
          </cell>
        </row>
        <row r="4787">
          <cell r="B4787">
            <v>2025003660002</v>
          </cell>
          <cell r="BP4787">
            <v>100</v>
          </cell>
        </row>
        <row r="4788">
          <cell r="B4788">
            <v>2025003660006</v>
          </cell>
          <cell r="BP4788">
            <v>95.6</v>
          </cell>
        </row>
        <row r="4789">
          <cell r="B4789">
            <v>2022003660003</v>
          </cell>
          <cell r="BP4789">
            <v>100</v>
          </cell>
        </row>
        <row r="4790">
          <cell r="B4790">
            <v>2025003660001</v>
          </cell>
          <cell r="BP4790">
            <v>96</v>
          </cell>
        </row>
        <row r="4791">
          <cell r="B4791">
            <v>2025003660008</v>
          </cell>
          <cell r="BP4791">
            <v>100</v>
          </cell>
        </row>
        <row r="4792">
          <cell r="B4792">
            <v>2025003660009</v>
          </cell>
          <cell r="BP4792">
            <v>100</v>
          </cell>
        </row>
        <row r="4793">
          <cell r="B4793">
            <v>2022003660007</v>
          </cell>
          <cell r="BP4793">
            <v>0</v>
          </cell>
        </row>
        <row r="4794">
          <cell r="B4794">
            <v>2025003660003</v>
          </cell>
          <cell r="BP4794">
            <v>89</v>
          </cell>
        </row>
        <row r="4795">
          <cell r="B4795">
            <v>2024003660071</v>
          </cell>
          <cell r="BP4795">
            <v>100</v>
          </cell>
        </row>
        <row r="4796">
          <cell r="B4796">
            <v>2025003660007</v>
          </cell>
          <cell r="BP4796">
            <v>100</v>
          </cell>
        </row>
        <row r="4797">
          <cell r="B4797">
            <v>2025003660010</v>
          </cell>
          <cell r="BP4797">
            <v>0</v>
          </cell>
        </row>
        <row r="4798">
          <cell r="B4798">
            <v>2021003660007</v>
          </cell>
          <cell r="BP4798">
            <v>11.2</v>
          </cell>
        </row>
        <row r="4799">
          <cell r="B4799">
            <v>2022000100078</v>
          </cell>
          <cell r="BP4799">
            <v>100</v>
          </cell>
        </row>
        <row r="4800">
          <cell r="B4800">
            <v>2019000100009</v>
          </cell>
          <cell r="BP4800">
            <v>42</v>
          </cell>
        </row>
        <row r="4801">
          <cell r="B4801">
            <v>2020000100289</v>
          </cell>
          <cell r="BP4801">
            <v>60</v>
          </cell>
        </row>
        <row r="4802">
          <cell r="B4802">
            <v>2021000100106</v>
          </cell>
          <cell r="BP4802">
            <v>100</v>
          </cell>
        </row>
        <row r="4803">
          <cell r="B4803">
            <v>2024000100120</v>
          </cell>
          <cell r="BP4803">
            <v>100</v>
          </cell>
        </row>
        <row r="4804">
          <cell r="B4804">
            <v>2024885640003</v>
          </cell>
          <cell r="BP4804">
            <v>17.5</v>
          </cell>
        </row>
        <row r="4805">
          <cell r="B4805">
            <v>2025885640001</v>
          </cell>
          <cell r="BP4805">
            <v>89.2</v>
          </cell>
        </row>
        <row r="4806">
          <cell r="B4806">
            <v>2022000100129</v>
          </cell>
          <cell r="BP4806">
            <v>0</v>
          </cell>
        </row>
        <row r="4807">
          <cell r="B4807">
            <v>2021000100521</v>
          </cell>
          <cell r="BP4807">
            <v>50</v>
          </cell>
        </row>
        <row r="4808">
          <cell r="B4808">
            <v>2024002880143</v>
          </cell>
          <cell r="BP4808">
            <v>100</v>
          </cell>
        </row>
        <row r="4809">
          <cell r="B4809">
            <v>2016000020026</v>
          </cell>
          <cell r="BP4809">
            <v>15.6</v>
          </cell>
        </row>
        <row r="4810">
          <cell r="B4810">
            <v>2016000100063</v>
          </cell>
          <cell r="BP4810">
            <v>37.6</v>
          </cell>
        </row>
        <row r="4811">
          <cell r="B4811">
            <v>2017002880002</v>
          </cell>
          <cell r="BP4811">
            <v>0</v>
          </cell>
        </row>
        <row r="4812">
          <cell r="B4812">
            <v>2021000100040</v>
          </cell>
          <cell r="BP4812">
            <v>82.4</v>
          </cell>
        </row>
        <row r="4813">
          <cell r="B4813">
            <v>2023002880001</v>
          </cell>
          <cell r="BP4813">
            <v>48.6</v>
          </cell>
        </row>
        <row r="4814">
          <cell r="B4814">
            <v>2024002880142</v>
          </cell>
          <cell r="BP4814">
            <v>100</v>
          </cell>
        </row>
        <row r="4815">
          <cell r="B4815">
            <v>2025002880001</v>
          </cell>
          <cell r="BP4815">
            <v>100</v>
          </cell>
        </row>
        <row r="4816">
          <cell r="B4816">
            <v>2025002880002</v>
          </cell>
          <cell r="BP4816">
            <v>100</v>
          </cell>
        </row>
        <row r="4817">
          <cell r="B4817">
            <v>2019000100015</v>
          </cell>
          <cell r="BP4817">
            <v>0</v>
          </cell>
        </row>
        <row r="4818">
          <cell r="B4818">
            <v>2020000020025</v>
          </cell>
          <cell r="BP4818">
            <v>93.6</v>
          </cell>
        </row>
        <row r="4819">
          <cell r="B4819">
            <v>2020000100593</v>
          </cell>
          <cell r="BP4819">
            <v>100</v>
          </cell>
        </row>
        <row r="4820">
          <cell r="B4820">
            <v>2021000100041</v>
          </cell>
          <cell r="BP4820">
            <v>96.4</v>
          </cell>
        </row>
        <row r="4821">
          <cell r="B4821">
            <v>2021000100125</v>
          </cell>
          <cell r="BP4821">
            <v>100</v>
          </cell>
        </row>
        <row r="4822">
          <cell r="B4822">
            <v>2024000100100</v>
          </cell>
          <cell r="BP4822">
            <v>0</v>
          </cell>
        </row>
        <row r="4823">
          <cell r="B4823">
            <v>2026680130001</v>
          </cell>
          <cell r="BP4823">
            <v>100</v>
          </cell>
        </row>
        <row r="4824">
          <cell r="B4824">
            <v>2023680200058</v>
          </cell>
          <cell r="BP4824">
            <v>100</v>
          </cell>
        </row>
        <row r="4825">
          <cell r="B4825">
            <v>2025680200001</v>
          </cell>
          <cell r="BP4825">
            <v>91.2</v>
          </cell>
        </row>
        <row r="4826">
          <cell r="B4826">
            <v>2025680790001</v>
          </cell>
          <cell r="BP4826">
            <v>100</v>
          </cell>
        </row>
        <row r="4827">
          <cell r="B4827">
            <v>2026680790001</v>
          </cell>
          <cell r="BP4827">
            <v>100</v>
          </cell>
        </row>
        <row r="4828">
          <cell r="B4828">
            <v>2013680810004</v>
          </cell>
          <cell r="BP4828">
            <v>100</v>
          </cell>
        </row>
        <row r="4829">
          <cell r="B4829" t="str">
            <v>2024N000200003</v>
          </cell>
          <cell r="BP4829">
            <v>0</v>
          </cell>
        </row>
        <row r="4830">
          <cell r="B4830">
            <v>2021004680404</v>
          </cell>
          <cell r="BP4830">
            <v>100</v>
          </cell>
        </row>
        <row r="4831">
          <cell r="B4831">
            <v>2024680810008</v>
          </cell>
          <cell r="BP4831">
            <v>50</v>
          </cell>
        </row>
        <row r="4832">
          <cell r="B4832">
            <v>2025680810002</v>
          </cell>
          <cell r="BP4832">
            <v>67.2</v>
          </cell>
        </row>
        <row r="4833">
          <cell r="B4833">
            <v>2025680810009</v>
          </cell>
          <cell r="BP4833">
            <v>0</v>
          </cell>
        </row>
        <row r="4834">
          <cell r="B4834">
            <v>2025680810010</v>
          </cell>
          <cell r="BP4834">
            <v>100</v>
          </cell>
        </row>
        <row r="4835">
          <cell r="B4835">
            <v>2025680810001</v>
          </cell>
          <cell r="BP4835">
            <v>60</v>
          </cell>
        </row>
        <row r="4836">
          <cell r="B4836">
            <v>2025680810003</v>
          </cell>
          <cell r="BP4836">
            <v>100</v>
          </cell>
        </row>
        <row r="4837">
          <cell r="B4837">
            <v>2023680810038</v>
          </cell>
          <cell r="BP4837">
            <v>16</v>
          </cell>
        </row>
        <row r="4838">
          <cell r="B4838">
            <v>2022680810094</v>
          </cell>
          <cell r="BP4838">
            <v>42.4</v>
          </cell>
        </row>
        <row r="4839">
          <cell r="B4839">
            <v>2025680920002</v>
          </cell>
          <cell r="BP4839">
            <v>100</v>
          </cell>
        </row>
        <row r="4840">
          <cell r="B4840">
            <v>2025680920003</v>
          </cell>
          <cell r="BP4840">
            <v>100</v>
          </cell>
        </row>
        <row r="4841">
          <cell r="B4841">
            <v>2025681010001</v>
          </cell>
          <cell r="BP4841">
            <v>87.6</v>
          </cell>
        </row>
        <row r="4842">
          <cell r="B4842">
            <v>2025681320001</v>
          </cell>
          <cell r="BP4842">
            <v>31.9</v>
          </cell>
        </row>
        <row r="4843">
          <cell r="B4843">
            <v>2026681470001</v>
          </cell>
          <cell r="BP4843">
            <v>100</v>
          </cell>
        </row>
        <row r="4844">
          <cell r="B4844">
            <v>2025681470002</v>
          </cell>
          <cell r="BP4844">
            <v>60</v>
          </cell>
        </row>
        <row r="4845">
          <cell r="B4845">
            <v>2014681470001</v>
          </cell>
          <cell r="BP4845">
            <v>0</v>
          </cell>
        </row>
        <row r="4846">
          <cell r="B4846">
            <v>2025681520003</v>
          </cell>
          <cell r="BP4846">
            <v>60</v>
          </cell>
        </row>
        <row r="4847">
          <cell r="B4847">
            <v>2025681600001</v>
          </cell>
          <cell r="BP4847">
            <v>100</v>
          </cell>
        </row>
        <row r="4848">
          <cell r="B4848">
            <v>2025681600002</v>
          </cell>
          <cell r="BP4848">
            <v>100</v>
          </cell>
        </row>
        <row r="4849">
          <cell r="B4849">
            <v>2025681620001</v>
          </cell>
          <cell r="BP4849">
            <v>100</v>
          </cell>
        </row>
        <row r="4850">
          <cell r="B4850">
            <v>2025681670002</v>
          </cell>
          <cell r="BP4850">
            <v>46.2</v>
          </cell>
        </row>
        <row r="4851">
          <cell r="B4851">
            <v>2025681690002</v>
          </cell>
          <cell r="BP4851">
            <v>89</v>
          </cell>
        </row>
        <row r="4852">
          <cell r="B4852">
            <v>2025681900003</v>
          </cell>
          <cell r="BP4852">
            <v>83.3</v>
          </cell>
        </row>
        <row r="4853">
          <cell r="B4853">
            <v>2025681900004</v>
          </cell>
          <cell r="BP4853">
            <v>53.4</v>
          </cell>
        </row>
        <row r="4854">
          <cell r="B4854">
            <v>2026682070001</v>
          </cell>
          <cell r="BP4854">
            <v>0</v>
          </cell>
        </row>
        <row r="4855">
          <cell r="B4855">
            <v>2025682110002</v>
          </cell>
          <cell r="BP4855">
            <v>50</v>
          </cell>
        </row>
        <row r="4856">
          <cell r="B4856">
            <v>2025682110003</v>
          </cell>
          <cell r="BP4856">
            <v>50</v>
          </cell>
        </row>
        <row r="4857">
          <cell r="B4857">
            <v>2026682170001</v>
          </cell>
          <cell r="BP4857">
            <v>100</v>
          </cell>
        </row>
        <row r="4858">
          <cell r="B4858">
            <v>2024682350086</v>
          </cell>
          <cell r="BP4858">
            <v>100</v>
          </cell>
        </row>
        <row r="4859">
          <cell r="B4859">
            <v>2022682350050</v>
          </cell>
          <cell r="BP4859">
            <v>50</v>
          </cell>
        </row>
        <row r="4860">
          <cell r="B4860">
            <v>2023682710023</v>
          </cell>
          <cell r="BP4860">
            <v>16.5</v>
          </cell>
        </row>
        <row r="4861">
          <cell r="B4861">
            <v>2024682450013</v>
          </cell>
          <cell r="BP4861">
            <v>0</v>
          </cell>
        </row>
        <row r="4862">
          <cell r="B4862">
            <v>2025682500002</v>
          </cell>
          <cell r="BP4862">
            <v>60</v>
          </cell>
        </row>
        <row r="4863">
          <cell r="B4863">
            <v>2025682500003</v>
          </cell>
          <cell r="BP4863">
            <v>60</v>
          </cell>
        </row>
        <row r="4864">
          <cell r="B4864">
            <v>2025682500001</v>
          </cell>
          <cell r="BP4864">
            <v>50</v>
          </cell>
        </row>
        <row r="4865">
          <cell r="B4865">
            <v>2025682550003</v>
          </cell>
          <cell r="BP4865">
            <v>90.4</v>
          </cell>
        </row>
        <row r="4866">
          <cell r="B4866">
            <v>2022682640022</v>
          </cell>
          <cell r="BP4866">
            <v>0</v>
          </cell>
        </row>
        <row r="4867">
          <cell r="B4867">
            <v>2026682960001</v>
          </cell>
          <cell r="BP4867">
            <v>89</v>
          </cell>
        </row>
        <row r="4868">
          <cell r="B4868">
            <v>2026682960002</v>
          </cell>
          <cell r="BP4868">
            <v>100</v>
          </cell>
        </row>
        <row r="4869">
          <cell r="B4869">
            <v>2025682980001</v>
          </cell>
          <cell r="BP4869">
            <v>16.5</v>
          </cell>
        </row>
        <row r="4870">
          <cell r="B4870">
            <v>2025682980003</v>
          </cell>
          <cell r="BP4870">
            <v>60</v>
          </cell>
        </row>
        <row r="4871">
          <cell r="B4871">
            <v>2025683180001</v>
          </cell>
          <cell r="BP4871">
            <v>71.599999999999994</v>
          </cell>
        </row>
        <row r="4872">
          <cell r="B4872">
            <v>2023683180028</v>
          </cell>
          <cell r="BP4872">
            <v>0</v>
          </cell>
        </row>
        <row r="4873">
          <cell r="B4873">
            <v>2025683440002</v>
          </cell>
          <cell r="BP4873">
            <v>60</v>
          </cell>
        </row>
        <row r="4874">
          <cell r="B4874">
            <v>2023683680015</v>
          </cell>
          <cell r="BP4874">
            <v>0</v>
          </cell>
        </row>
        <row r="4875">
          <cell r="B4875">
            <v>2025683770001</v>
          </cell>
          <cell r="BP4875">
            <v>100</v>
          </cell>
        </row>
        <row r="4876">
          <cell r="B4876">
            <v>2026683970001</v>
          </cell>
          <cell r="BP4876">
            <v>60</v>
          </cell>
        </row>
        <row r="4877">
          <cell r="B4877">
            <v>2026683970002</v>
          </cell>
          <cell r="BP4877">
            <v>60</v>
          </cell>
        </row>
        <row r="4878">
          <cell r="B4878">
            <v>2025684060001</v>
          </cell>
          <cell r="BP4878">
            <v>42.8</v>
          </cell>
        </row>
        <row r="4879">
          <cell r="B4879">
            <v>2025684180002</v>
          </cell>
          <cell r="BP4879">
            <v>100</v>
          </cell>
        </row>
        <row r="4880">
          <cell r="B4880">
            <v>2025684180003</v>
          </cell>
          <cell r="BP4880">
            <v>60</v>
          </cell>
        </row>
        <row r="4881">
          <cell r="B4881">
            <v>2025684250003</v>
          </cell>
          <cell r="BP4881">
            <v>100</v>
          </cell>
        </row>
        <row r="4882">
          <cell r="B4882">
            <v>2025685020002</v>
          </cell>
          <cell r="BP4882">
            <v>50</v>
          </cell>
        </row>
        <row r="4883">
          <cell r="B4883">
            <v>2025685240003</v>
          </cell>
          <cell r="BP4883">
            <v>100</v>
          </cell>
        </row>
        <row r="4884">
          <cell r="B4884">
            <v>2025685730003</v>
          </cell>
          <cell r="BP4884">
            <v>100</v>
          </cell>
        </row>
        <row r="4885">
          <cell r="B4885">
            <v>2025685750002</v>
          </cell>
          <cell r="BP4885">
            <v>90</v>
          </cell>
        </row>
        <row r="4886">
          <cell r="B4886">
            <v>2025685750005</v>
          </cell>
          <cell r="BP4886">
            <v>50</v>
          </cell>
        </row>
        <row r="4887">
          <cell r="B4887">
            <v>2025685750007</v>
          </cell>
          <cell r="BP4887">
            <v>26.7</v>
          </cell>
        </row>
        <row r="4888">
          <cell r="B4888">
            <v>2025685750008</v>
          </cell>
          <cell r="BP4888">
            <v>53.4</v>
          </cell>
        </row>
        <row r="4889">
          <cell r="B4889">
            <v>2025685750009</v>
          </cell>
          <cell r="BP4889">
            <v>50</v>
          </cell>
        </row>
        <row r="4890">
          <cell r="B4890">
            <v>2025685750010</v>
          </cell>
          <cell r="BP4890">
            <v>35.799999999999997</v>
          </cell>
        </row>
        <row r="4891">
          <cell r="B4891">
            <v>2025685750011</v>
          </cell>
          <cell r="BP4891">
            <v>78</v>
          </cell>
        </row>
        <row r="4892">
          <cell r="B4892">
            <v>2025685750013</v>
          </cell>
          <cell r="BP4892">
            <v>50</v>
          </cell>
        </row>
        <row r="4893">
          <cell r="B4893">
            <v>2025685750015</v>
          </cell>
          <cell r="BP4893">
            <v>0</v>
          </cell>
        </row>
        <row r="4894">
          <cell r="B4894">
            <v>2025686150005</v>
          </cell>
          <cell r="BP4894">
            <v>100</v>
          </cell>
        </row>
        <row r="4895">
          <cell r="B4895">
            <v>2017686150003</v>
          </cell>
          <cell r="BP4895">
            <v>17.5</v>
          </cell>
        </row>
        <row r="4896">
          <cell r="B4896">
            <v>2024686150034</v>
          </cell>
          <cell r="BP4896">
            <v>60</v>
          </cell>
        </row>
        <row r="4897">
          <cell r="B4897">
            <v>2026686550001</v>
          </cell>
          <cell r="BP4897">
            <v>100</v>
          </cell>
        </row>
        <row r="4898">
          <cell r="B4898" t="str">
            <v>2025N007520001</v>
          </cell>
          <cell r="BP4898">
            <v>100</v>
          </cell>
        </row>
        <row r="4899">
          <cell r="B4899">
            <v>2025686550009</v>
          </cell>
          <cell r="BP4899">
            <v>100</v>
          </cell>
        </row>
        <row r="4900">
          <cell r="B4900">
            <v>2025686550008</v>
          </cell>
          <cell r="BP4900">
            <v>100</v>
          </cell>
        </row>
        <row r="4901">
          <cell r="B4901">
            <v>2024686550042</v>
          </cell>
          <cell r="BP4901">
            <v>86.8</v>
          </cell>
        </row>
        <row r="4902">
          <cell r="B4902">
            <v>2025686550010</v>
          </cell>
          <cell r="BP4902">
            <v>100</v>
          </cell>
        </row>
        <row r="4903">
          <cell r="B4903">
            <v>2025686690001</v>
          </cell>
          <cell r="BP4903">
            <v>100</v>
          </cell>
        </row>
        <row r="4904">
          <cell r="B4904">
            <v>2023686730022</v>
          </cell>
          <cell r="BP4904">
            <v>0</v>
          </cell>
        </row>
        <row r="4905">
          <cell r="B4905">
            <v>2025686730001</v>
          </cell>
          <cell r="BP4905">
            <v>0</v>
          </cell>
        </row>
        <row r="4906">
          <cell r="B4906">
            <v>2025686730002</v>
          </cell>
          <cell r="BP4906">
            <v>0</v>
          </cell>
        </row>
        <row r="4907">
          <cell r="B4907">
            <v>2025686840002</v>
          </cell>
          <cell r="BP4907">
            <v>100</v>
          </cell>
        </row>
        <row r="4908">
          <cell r="B4908">
            <v>2025686840003</v>
          </cell>
          <cell r="BP4908">
            <v>100</v>
          </cell>
        </row>
        <row r="4909">
          <cell r="B4909">
            <v>2025686840001</v>
          </cell>
          <cell r="BP4909">
            <v>43</v>
          </cell>
        </row>
        <row r="4910">
          <cell r="B4910">
            <v>2025686860001</v>
          </cell>
          <cell r="BP4910">
            <v>100</v>
          </cell>
        </row>
        <row r="4911">
          <cell r="B4911">
            <v>20181301010290</v>
          </cell>
          <cell r="BP4911">
            <v>0</v>
          </cell>
        </row>
        <row r="4912">
          <cell r="B4912">
            <v>2021686890076</v>
          </cell>
          <cell r="BP4912">
            <v>50</v>
          </cell>
        </row>
        <row r="4913">
          <cell r="B4913">
            <v>2022686890039</v>
          </cell>
          <cell r="BP4913">
            <v>50</v>
          </cell>
        </row>
        <row r="4914">
          <cell r="B4914">
            <v>2024686890059</v>
          </cell>
          <cell r="BP4914">
            <v>0</v>
          </cell>
        </row>
        <row r="4915">
          <cell r="B4915">
            <v>2024686890116</v>
          </cell>
          <cell r="BP4915">
            <v>30</v>
          </cell>
        </row>
        <row r="4916">
          <cell r="B4916">
            <v>2025686890001</v>
          </cell>
          <cell r="BP4916">
            <v>20</v>
          </cell>
        </row>
        <row r="4917">
          <cell r="B4917">
            <v>2025686890002</v>
          </cell>
          <cell r="BP4917">
            <v>50</v>
          </cell>
        </row>
        <row r="4918">
          <cell r="B4918">
            <v>2025686890005</v>
          </cell>
          <cell r="BP4918">
            <v>47</v>
          </cell>
        </row>
        <row r="4919">
          <cell r="B4919">
            <v>2025686890006</v>
          </cell>
          <cell r="BP4919">
            <v>50</v>
          </cell>
        </row>
        <row r="4920">
          <cell r="B4920">
            <v>2025687050002</v>
          </cell>
          <cell r="BP4920">
            <v>100</v>
          </cell>
        </row>
        <row r="4921">
          <cell r="B4921">
            <v>2025687200001</v>
          </cell>
          <cell r="BP4921">
            <v>60</v>
          </cell>
        </row>
        <row r="4922">
          <cell r="B4922">
            <v>2025687200002</v>
          </cell>
          <cell r="BP4922">
            <v>100</v>
          </cell>
        </row>
        <row r="4923">
          <cell r="B4923">
            <v>2020000100373</v>
          </cell>
          <cell r="BP4923">
            <v>42.8</v>
          </cell>
        </row>
        <row r="4924">
          <cell r="B4924">
            <v>2013000050042</v>
          </cell>
          <cell r="BP4924">
            <v>0</v>
          </cell>
        </row>
        <row r="4925">
          <cell r="B4925">
            <v>2013004680080</v>
          </cell>
          <cell r="BP4925">
            <v>0</v>
          </cell>
        </row>
        <row r="4926">
          <cell r="B4926">
            <v>2015000100125</v>
          </cell>
          <cell r="BP4926">
            <v>60</v>
          </cell>
        </row>
        <row r="4927">
          <cell r="B4927">
            <v>2015004680030</v>
          </cell>
          <cell r="BP4927">
            <v>1</v>
          </cell>
        </row>
        <row r="4928">
          <cell r="B4928">
            <v>2022000050005</v>
          </cell>
          <cell r="BP4928">
            <v>100</v>
          </cell>
        </row>
        <row r="4929">
          <cell r="B4929">
            <v>2022004680056</v>
          </cell>
          <cell r="BP4929">
            <v>90</v>
          </cell>
        </row>
        <row r="4930">
          <cell r="B4930">
            <v>2022004680193</v>
          </cell>
          <cell r="BP4930">
            <v>100</v>
          </cell>
        </row>
        <row r="4931">
          <cell r="B4931">
            <v>2022004680195</v>
          </cell>
          <cell r="BP4931">
            <v>100</v>
          </cell>
        </row>
        <row r="4932">
          <cell r="B4932">
            <v>2022004680210</v>
          </cell>
          <cell r="BP4932">
            <v>100</v>
          </cell>
        </row>
        <row r="4933">
          <cell r="B4933">
            <v>2022004680212</v>
          </cell>
          <cell r="BP4933">
            <v>90</v>
          </cell>
        </row>
        <row r="4934">
          <cell r="B4934">
            <v>2022004680213</v>
          </cell>
          <cell r="BP4934">
            <v>100</v>
          </cell>
        </row>
        <row r="4935">
          <cell r="B4935">
            <v>2022004680214</v>
          </cell>
          <cell r="BP4935">
            <v>90</v>
          </cell>
        </row>
        <row r="4936">
          <cell r="B4936">
            <v>2022004680217</v>
          </cell>
          <cell r="BP4936">
            <v>100</v>
          </cell>
        </row>
        <row r="4937">
          <cell r="B4937">
            <v>2023004680012</v>
          </cell>
          <cell r="BP4937">
            <v>100</v>
          </cell>
        </row>
        <row r="4938">
          <cell r="B4938">
            <v>2023004680027</v>
          </cell>
          <cell r="BP4938">
            <v>100</v>
          </cell>
        </row>
        <row r="4939">
          <cell r="B4939">
            <v>2023004680067</v>
          </cell>
          <cell r="BP4939">
            <v>0</v>
          </cell>
        </row>
        <row r="4940">
          <cell r="B4940">
            <v>2023004680074</v>
          </cell>
          <cell r="BP4940">
            <v>100</v>
          </cell>
        </row>
        <row r="4941">
          <cell r="B4941">
            <v>2023004680078</v>
          </cell>
          <cell r="BP4941">
            <v>100</v>
          </cell>
        </row>
        <row r="4942">
          <cell r="B4942">
            <v>2023004680081</v>
          </cell>
          <cell r="BP4942">
            <v>50</v>
          </cell>
        </row>
        <row r="4943">
          <cell r="B4943">
            <v>2023004680082</v>
          </cell>
          <cell r="BP4943">
            <v>100</v>
          </cell>
        </row>
        <row r="4944">
          <cell r="B4944">
            <v>2023004680085</v>
          </cell>
          <cell r="BP4944">
            <v>0</v>
          </cell>
        </row>
        <row r="4945">
          <cell r="B4945">
            <v>2023004680087</v>
          </cell>
          <cell r="BP4945">
            <v>100</v>
          </cell>
        </row>
        <row r="4946">
          <cell r="B4946">
            <v>2023004680088</v>
          </cell>
          <cell r="BP4946">
            <v>100</v>
          </cell>
        </row>
        <row r="4947">
          <cell r="B4947">
            <v>2023004680090</v>
          </cell>
          <cell r="BP4947">
            <v>35.5</v>
          </cell>
        </row>
        <row r="4948">
          <cell r="B4948">
            <v>2023004680092</v>
          </cell>
          <cell r="BP4948">
            <v>100</v>
          </cell>
        </row>
        <row r="4949">
          <cell r="B4949">
            <v>2023004680103</v>
          </cell>
          <cell r="BP4949">
            <v>0</v>
          </cell>
        </row>
        <row r="4950">
          <cell r="B4950">
            <v>2023004680162</v>
          </cell>
          <cell r="BP4950">
            <v>100</v>
          </cell>
        </row>
        <row r="4951">
          <cell r="B4951">
            <v>2023685720037</v>
          </cell>
          <cell r="BP4951">
            <v>50</v>
          </cell>
        </row>
        <row r="4952">
          <cell r="B4952">
            <v>2025000050005</v>
          </cell>
          <cell r="BP4952">
            <v>100</v>
          </cell>
        </row>
        <row r="4953">
          <cell r="B4953">
            <v>2025004680003</v>
          </cell>
          <cell r="BP4953">
            <v>100</v>
          </cell>
        </row>
        <row r="4954">
          <cell r="B4954">
            <v>2025004680006</v>
          </cell>
          <cell r="BP4954">
            <v>92.8</v>
          </cell>
        </row>
        <row r="4955">
          <cell r="B4955">
            <v>2025004680007</v>
          </cell>
          <cell r="BP4955">
            <v>59.2</v>
          </cell>
        </row>
        <row r="4956">
          <cell r="B4956">
            <v>2025004680008</v>
          </cell>
          <cell r="BP4956">
            <v>100</v>
          </cell>
        </row>
        <row r="4957">
          <cell r="B4957">
            <v>2025004680010</v>
          </cell>
          <cell r="BP4957">
            <v>100</v>
          </cell>
        </row>
        <row r="4958">
          <cell r="B4958">
            <v>2025004680013</v>
          </cell>
          <cell r="BP4958">
            <v>100</v>
          </cell>
        </row>
        <row r="4959">
          <cell r="B4959">
            <v>2025004680011</v>
          </cell>
          <cell r="BP4959">
            <v>0</v>
          </cell>
        </row>
        <row r="4960">
          <cell r="B4960">
            <v>2025004680018</v>
          </cell>
          <cell r="BP4960">
            <v>68.8</v>
          </cell>
        </row>
        <row r="4961">
          <cell r="B4961">
            <v>2025004680004</v>
          </cell>
          <cell r="BP4961">
            <v>48.2</v>
          </cell>
        </row>
        <row r="4962">
          <cell r="B4962">
            <v>2025004680009</v>
          </cell>
          <cell r="BP4962">
            <v>100</v>
          </cell>
        </row>
        <row r="4963">
          <cell r="B4963">
            <v>2025004680014</v>
          </cell>
          <cell r="BP4963">
            <v>100</v>
          </cell>
        </row>
        <row r="4964">
          <cell r="B4964">
            <v>2025004680019</v>
          </cell>
          <cell r="BP4964">
            <v>60.8</v>
          </cell>
        </row>
        <row r="4965">
          <cell r="B4965">
            <v>2024000100141</v>
          </cell>
          <cell r="BP4965">
            <v>100</v>
          </cell>
        </row>
        <row r="4966">
          <cell r="B4966">
            <v>2023004680083</v>
          </cell>
          <cell r="BP4966">
            <v>25.4</v>
          </cell>
        </row>
        <row r="4967">
          <cell r="B4967">
            <v>2023004680158</v>
          </cell>
          <cell r="BP4967">
            <v>3.9</v>
          </cell>
        </row>
        <row r="4968">
          <cell r="B4968">
            <v>2025004680017</v>
          </cell>
          <cell r="BP4968">
            <v>0</v>
          </cell>
        </row>
        <row r="4969">
          <cell r="B4969">
            <v>2025004680015</v>
          </cell>
          <cell r="BP4969">
            <v>93.2</v>
          </cell>
        </row>
        <row r="4970">
          <cell r="B4970">
            <v>2025004680016</v>
          </cell>
          <cell r="BP4970">
            <v>100</v>
          </cell>
        </row>
        <row r="4971">
          <cell r="B4971">
            <v>2024004680300</v>
          </cell>
          <cell r="BP4971">
            <v>89</v>
          </cell>
        </row>
        <row r="4972">
          <cell r="B4972">
            <v>2019000100019</v>
          </cell>
          <cell r="BP4972">
            <v>100</v>
          </cell>
        </row>
        <row r="4973">
          <cell r="B4973">
            <v>2020000100551</v>
          </cell>
          <cell r="BP4973">
            <v>90</v>
          </cell>
        </row>
        <row r="4974">
          <cell r="B4974">
            <v>2021000100002</v>
          </cell>
          <cell r="BP4974">
            <v>100</v>
          </cell>
        </row>
        <row r="4975">
          <cell r="B4975">
            <v>2022000100075</v>
          </cell>
          <cell r="BP4975">
            <v>99.2</v>
          </cell>
        </row>
        <row r="4976">
          <cell r="B4976">
            <v>2012000100092</v>
          </cell>
          <cell r="BP4976">
            <v>10</v>
          </cell>
        </row>
        <row r="4977">
          <cell r="B4977">
            <v>2018004680132</v>
          </cell>
          <cell r="BP4977">
            <v>0</v>
          </cell>
        </row>
        <row r="4978">
          <cell r="B4978">
            <v>2019000100020</v>
          </cell>
          <cell r="BP4978">
            <v>38</v>
          </cell>
        </row>
        <row r="4979">
          <cell r="B4979">
            <v>2020000100536</v>
          </cell>
          <cell r="BP4979">
            <v>38</v>
          </cell>
        </row>
        <row r="4980">
          <cell r="B4980">
            <v>2021000100022</v>
          </cell>
          <cell r="BP4980">
            <v>80</v>
          </cell>
        </row>
        <row r="4981">
          <cell r="B4981">
            <v>2021000100331</v>
          </cell>
          <cell r="BP4981">
            <v>100</v>
          </cell>
        </row>
        <row r="4982">
          <cell r="B4982">
            <v>2021000100536</v>
          </cell>
          <cell r="BP4982">
            <v>100</v>
          </cell>
        </row>
        <row r="4983">
          <cell r="B4983">
            <v>2024000100037</v>
          </cell>
          <cell r="BP4983">
            <v>100</v>
          </cell>
        </row>
        <row r="4984">
          <cell r="B4984">
            <v>2021000100039</v>
          </cell>
          <cell r="BP4984">
            <v>89</v>
          </cell>
        </row>
        <row r="4985">
          <cell r="B4985">
            <v>2024687450027</v>
          </cell>
          <cell r="BP4985">
            <v>100</v>
          </cell>
        </row>
        <row r="4986">
          <cell r="B4986">
            <v>2025687450001</v>
          </cell>
          <cell r="BP4986">
            <v>100</v>
          </cell>
        </row>
        <row r="4987">
          <cell r="B4987">
            <v>2024687550070</v>
          </cell>
          <cell r="BP4987">
            <v>44.5</v>
          </cell>
        </row>
        <row r="4988">
          <cell r="B4988">
            <v>2025687700002</v>
          </cell>
          <cell r="BP4988">
            <v>50</v>
          </cell>
        </row>
        <row r="4989">
          <cell r="B4989">
            <v>2023687730018</v>
          </cell>
          <cell r="BP4989">
            <v>31.6</v>
          </cell>
        </row>
        <row r="4990">
          <cell r="B4990">
            <v>2026687730001</v>
          </cell>
          <cell r="BP4990">
            <v>100</v>
          </cell>
        </row>
        <row r="4991">
          <cell r="B4991">
            <v>2025688550005</v>
          </cell>
          <cell r="BP4991">
            <v>50</v>
          </cell>
        </row>
        <row r="4992">
          <cell r="B4992">
            <v>2022688550030</v>
          </cell>
          <cell r="BP4992">
            <v>0</v>
          </cell>
        </row>
        <row r="4993">
          <cell r="B4993">
            <v>2025688550001</v>
          </cell>
          <cell r="BP4993">
            <v>32</v>
          </cell>
        </row>
        <row r="4994">
          <cell r="B4994">
            <v>2025688550002</v>
          </cell>
          <cell r="BP4994">
            <v>32</v>
          </cell>
        </row>
        <row r="4995">
          <cell r="B4995">
            <v>2025688550003</v>
          </cell>
          <cell r="BP4995">
            <v>30</v>
          </cell>
        </row>
        <row r="4996">
          <cell r="B4996">
            <v>2024688610044</v>
          </cell>
          <cell r="BP4996">
            <v>10</v>
          </cell>
        </row>
        <row r="4997">
          <cell r="B4997">
            <v>2025688610001</v>
          </cell>
          <cell r="BP4997">
            <v>100</v>
          </cell>
        </row>
        <row r="4998">
          <cell r="B4998">
            <v>2025688670002</v>
          </cell>
          <cell r="BP4998">
            <v>89</v>
          </cell>
        </row>
        <row r="4999">
          <cell r="B4999">
            <v>2026688720001</v>
          </cell>
          <cell r="BP4999">
            <v>100</v>
          </cell>
        </row>
        <row r="5000">
          <cell r="B5000">
            <v>2026688720002</v>
          </cell>
          <cell r="BP5000">
            <v>100</v>
          </cell>
        </row>
        <row r="5001">
          <cell r="B5001">
            <v>2024000020029</v>
          </cell>
          <cell r="BP5001">
            <v>92.4</v>
          </cell>
        </row>
        <row r="5002">
          <cell r="B5002">
            <v>2025701240004</v>
          </cell>
          <cell r="BP5002">
            <v>43.8</v>
          </cell>
        </row>
        <row r="5003">
          <cell r="B5003">
            <v>2025701240002</v>
          </cell>
          <cell r="BP5003">
            <v>90</v>
          </cell>
        </row>
        <row r="5004">
          <cell r="B5004">
            <v>2025701240003</v>
          </cell>
          <cell r="BP5004">
            <v>81.2</v>
          </cell>
        </row>
        <row r="5005">
          <cell r="B5005">
            <v>2025701240005</v>
          </cell>
          <cell r="BP5005">
            <v>0</v>
          </cell>
        </row>
        <row r="5006">
          <cell r="B5006">
            <v>20241301010003</v>
          </cell>
          <cell r="BP5006">
            <v>100</v>
          </cell>
        </row>
        <row r="5007">
          <cell r="B5007">
            <v>2025702040001</v>
          </cell>
          <cell r="BP5007">
            <v>100</v>
          </cell>
        </row>
        <row r="5008">
          <cell r="B5008">
            <v>20201301011742</v>
          </cell>
          <cell r="BP5008">
            <v>100</v>
          </cell>
        </row>
        <row r="5009">
          <cell r="B5009">
            <v>20211301011153</v>
          </cell>
          <cell r="BP5009">
            <v>100</v>
          </cell>
        </row>
        <row r="5010">
          <cell r="B5010">
            <v>20211301011540</v>
          </cell>
          <cell r="BP5010">
            <v>100</v>
          </cell>
        </row>
        <row r="5011">
          <cell r="B5011">
            <v>2024702040164</v>
          </cell>
          <cell r="BP5011">
            <v>100</v>
          </cell>
        </row>
        <row r="5012">
          <cell r="B5012">
            <v>2024702040165</v>
          </cell>
          <cell r="BP5012">
            <v>50</v>
          </cell>
        </row>
        <row r="5013">
          <cell r="B5013">
            <v>2025702040003</v>
          </cell>
          <cell r="BP5013">
            <v>100</v>
          </cell>
        </row>
        <row r="5014">
          <cell r="B5014" t="str">
            <v>2025M001710001</v>
          </cell>
          <cell r="BP5014">
            <v>44.5</v>
          </cell>
        </row>
        <row r="5015">
          <cell r="B5015" t="str">
            <v>2024N001620001</v>
          </cell>
          <cell r="BP5015">
            <v>0</v>
          </cell>
        </row>
        <row r="5016">
          <cell r="B5016" t="str">
            <v>2024M002210001</v>
          </cell>
          <cell r="BP5016">
            <v>0</v>
          </cell>
        </row>
        <row r="5017">
          <cell r="B5017">
            <v>2023702150006</v>
          </cell>
          <cell r="BP5017">
            <v>0</v>
          </cell>
        </row>
        <row r="5018">
          <cell r="B5018">
            <v>2018702150012</v>
          </cell>
          <cell r="BP5018">
            <v>0</v>
          </cell>
        </row>
        <row r="5019">
          <cell r="B5019">
            <v>2019702150030</v>
          </cell>
          <cell r="BP5019">
            <v>0</v>
          </cell>
        </row>
        <row r="5020">
          <cell r="B5020">
            <v>2025702150005</v>
          </cell>
          <cell r="BP5020">
            <v>30</v>
          </cell>
        </row>
        <row r="5021">
          <cell r="B5021">
            <v>2025702150006</v>
          </cell>
          <cell r="BP5021">
            <v>100</v>
          </cell>
        </row>
        <row r="5022">
          <cell r="B5022">
            <v>2025702150007</v>
          </cell>
          <cell r="BP5022">
            <v>0</v>
          </cell>
        </row>
        <row r="5023">
          <cell r="B5023">
            <v>2017702210002</v>
          </cell>
          <cell r="BP5023">
            <v>0</v>
          </cell>
        </row>
        <row r="5024">
          <cell r="B5024">
            <v>2018702210027</v>
          </cell>
          <cell r="BP5024">
            <v>0</v>
          </cell>
        </row>
        <row r="5025">
          <cell r="B5025">
            <v>2021702210039</v>
          </cell>
          <cell r="BP5025">
            <v>15</v>
          </cell>
        </row>
        <row r="5026">
          <cell r="B5026">
            <v>2022702210161</v>
          </cell>
          <cell r="BP5026">
            <v>80.099999999999994</v>
          </cell>
        </row>
        <row r="5027">
          <cell r="B5027">
            <v>2022702210162</v>
          </cell>
          <cell r="BP5027">
            <v>0</v>
          </cell>
        </row>
        <row r="5028">
          <cell r="B5028">
            <v>2024702210134</v>
          </cell>
          <cell r="BP5028">
            <v>24.5</v>
          </cell>
        </row>
        <row r="5029">
          <cell r="B5029">
            <v>2024702210221</v>
          </cell>
          <cell r="BP5029">
            <v>0</v>
          </cell>
        </row>
        <row r="5030">
          <cell r="B5030">
            <v>2025702210001</v>
          </cell>
          <cell r="BP5030">
            <v>0</v>
          </cell>
        </row>
        <row r="5031">
          <cell r="B5031">
            <v>2025702210002</v>
          </cell>
          <cell r="BP5031">
            <v>0</v>
          </cell>
        </row>
        <row r="5032">
          <cell r="B5032" t="str">
            <v>2025M001910002</v>
          </cell>
          <cell r="BP5032">
            <v>36.299999999999997</v>
          </cell>
        </row>
        <row r="5033">
          <cell r="B5033">
            <v>2023702210057</v>
          </cell>
          <cell r="BP5033">
            <v>0</v>
          </cell>
        </row>
        <row r="5034">
          <cell r="B5034">
            <v>2021702330018</v>
          </cell>
          <cell r="BP5034">
            <v>60</v>
          </cell>
        </row>
        <row r="5035">
          <cell r="B5035">
            <v>2025702330001</v>
          </cell>
          <cell r="BP5035">
            <v>100</v>
          </cell>
        </row>
        <row r="5036">
          <cell r="B5036">
            <v>2025702330002</v>
          </cell>
          <cell r="BP5036">
            <v>40</v>
          </cell>
        </row>
        <row r="5037">
          <cell r="B5037">
            <v>2025000020037</v>
          </cell>
          <cell r="BP5037">
            <v>100</v>
          </cell>
        </row>
        <row r="5038">
          <cell r="B5038">
            <v>2025702350003</v>
          </cell>
          <cell r="BP5038">
            <v>50</v>
          </cell>
        </row>
        <row r="5039">
          <cell r="B5039">
            <v>2025702350005</v>
          </cell>
          <cell r="BP5039">
            <v>0</v>
          </cell>
        </row>
        <row r="5040">
          <cell r="B5040">
            <v>2025702350006</v>
          </cell>
          <cell r="BP5040">
            <v>100</v>
          </cell>
        </row>
        <row r="5041">
          <cell r="B5041">
            <v>2024702650015</v>
          </cell>
          <cell r="BP5041">
            <v>100</v>
          </cell>
        </row>
        <row r="5042">
          <cell r="B5042" t="str">
            <v>2024Rrom010001</v>
          </cell>
          <cell r="BP5042">
            <v>100</v>
          </cell>
        </row>
        <row r="5043">
          <cell r="B5043">
            <v>2025704000008</v>
          </cell>
          <cell r="BP5043">
            <v>100</v>
          </cell>
        </row>
        <row r="5044">
          <cell r="B5044">
            <v>2025704000005</v>
          </cell>
          <cell r="BP5044">
            <v>73.2</v>
          </cell>
        </row>
        <row r="5045">
          <cell r="B5045">
            <v>2025704000007</v>
          </cell>
          <cell r="BP5045">
            <v>75.599999999999994</v>
          </cell>
        </row>
        <row r="5046">
          <cell r="B5046">
            <v>2025704000010</v>
          </cell>
          <cell r="BP5046">
            <v>100</v>
          </cell>
        </row>
        <row r="5047">
          <cell r="B5047">
            <v>2025704000011</v>
          </cell>
          <cell r="BP5047">
            <v>100</v>
          </cell>
        </row>
        <row r="5048">
          <cell r="B5048">
            <v>20201301010067</v>
          </cell>
          <cell r="BP5048">
            <v>10.5</v>
          </cell>
        </row>
        <row r="5049">
          <cell r="B5049">
            <v>2022000020021</v>
          </cell>
          <cell r="BP5049">
            <v>40.5</v>
          </cell>
        </row>
        <row r="5050">
          <cell r="B5050">
            <v>2025704180002</v>
          </cell>
          <cell r="BP5050">
            <v>27</v>
          </cell>
        </row>
        <row r="5051">
          <cell r="B5051">
            <v>2026704180001</v>
          </cell>
          <cell r="BP5051">
            <v>100</v>
          </cell>
        </row>
        <row r="5052">
          <cell r="B5052">
            <v>2023704290023</v>
          </cell>
          <cell r="BP5052">
            <v>25</v>
          </cell>
        </row>
        <row r="5053">
          <cell r="B5053">
            <v>2025704290003</v>
          </cell>
          <cell r="BP5053">
            <v>100</v>
          </cell>
        </row>
        <row r="5054">
          <cell r="B5054">
            <v>2025704290004</v>
          </cell>
          <cell r="BP5054">
            <v>100</v>
          </cell>
        </row>
        <row r="5055">
          <cell r="B5055">
            <v>2025704290005</v>
          </cell>
          <cell r="BP5055">
            <v>100</v>
          </cell>
        </row>
        <row r="5056">
          <cell r="B5056">
            <v>2025704730004</v>
          </cell>
          <cell r="BP5056">
            <v>100</v>
          </cell>
        </row>
        <row r="5057">
          <cell r="B5057">
            <v>2026704730004</v>
          </cell>
          <cell r="BP5057">
            <v>100</v>
          </cell>
        </row>
        <row r="5058">
          <cell r="B5058">
            <v>2018705080054</v>
          </cell>
          <cell r="BP5058">
            <v>0</v>
          </cell>
        </row>
        <row r="5059">
          <cell r="B5059">
            <v>2025705080004</v>
          </cell>
          <cell r="BP5059">
            <v>91.6</v>
          </cell>
        </row>
        <row r="5060">
          <cell r="B5060">
            <v>2025705080005</v>
          </cell>
          <cell r="BP5060">
            <v>100</v>
          </cell>
        </row>
        <row r="5061">
          <cell r="B5061">
            <v>2026705080001</v>
          </cell>
          <cell r="BP5061">
            <v>100</v>
          </cell>
        </row>
        <row r="5062">
          <cell r="B5062">
            <v>2025705230003</v>
          </cell>
          <cell r="BP5062">
            <v>100</v>
          </cell>
        </row>
        <row r="5063">
          <cell r="B5063">
            <v>2025706700007</v>
          </cell>
          <cell r="BP5063">
            <v>2.7</v>
          </cell>
        </row>
        <row r="5064">
          <cell r="B5064">
            <v>20181301010297</v>
          </cell>
          <cell r="BP5064">
            <v>47</v>
          </cell>
        </row>
        <row r="5065">
          <cell r="B5065">
            <v>2023706700056</v>
          </cell>
          <cell r="BP5065">
            <v>0</v>
          </cell>
        </row>
        <row r="5066">
          <cell r="B5066">
            <v>2023706700095</v>
          </cell>
          <cell r="BP5066">
            <v>0</v>
          </cell>
        </row>
        <row r="5067">
          <cell r="B5067">
            <v>2023706700108</v>
          </cell>
          <cell r="BP5067">
            <v>0</v>
          </cell>
        </row>
        <row r="5068">
          <cell r="B5068">
            <v>2024706700078</v>
          </cell>
          <cell r="BP5068">
            <v>0</v>
          </cell>
        </row>
        <row r="5069">
          <cell r="B5069">
            <v>2024706700099</v>
          </cell>
          <cell r="BP5069">
            <v>50</v>
          </cell>
        </row>
        <row r="5070">
          <cell r="B5070">
            <v>2024706700101</v>
          </cell>
          <cell r="BP5070">
            <v>41.5</v>
          </cell>
        </row>
        <row r="5071">
          <cell r="B5071">
            <v>2025706700001</v>
          </cell>
          <cell r="BP5071">
            <v>50</v>
          </cell>
        </row>
        <row r="5072">
          <cell r="B5072">
            <v>2025706700002</v>
          </cell>
          <cell r="BP5072">
            <v>60</v>
          </cell>
        </row>
        <row r="5073">
          <cell r="B5073">
            <v>2025706700003</v>
          </cell>
          <cell r="BP5073">
            <v>41.4</v>
          </cell>
        </row>
        <row r="5074">
          <cell r="B5074">
            <v>2025706700006</v>
          </cell>
          <cell r="BP5074">
            <v>92</v>
          </cell>
        </row>
        <row r="5075">
          <cell r="B5075">
            <v>2025706700010</v>
          </cell>
          <cell r="BP5075">
            <v>96</v>
          </cell>
        </row>
        <row r="5076">
          <cell r="B5076">
            <v>2025706780005</v>
          </cell>
          <cell r="BP5076">
            <v>100</v>
          </cell>
        </row>
        <row r="5077">
          <cell r="B5077">
            <v>2025706780006</v>
          </cell>
          <cell r="BP5077">
            <v>0</v>
          </cell>
        </row>
        <row r="5078">
          <cell r="B5078">
            <v>2022707020002</v>
          </cell>
          <cell r="BP5078">
            <v>0</v>
          </cell>
        </row>
        <row r="5079">
          <cell r="B5079">
            <v>2025707020001</v>
          </cell>
          <cell r="BP5079">
            <v>0</v>
          </cell>
        </row>
        <row r="5080">
          <cell r="B5080">
            <v>2025707020003</v>
          </cell>
          <cell r="BP5080">
            <v>30</v>
          </cell>
        </row>
        <row r="5081">
          <cell r="B5081">
            <v>2021707080047</v>
          </cell>
          <cell r="BP5081">
            <v>0</v>
          </cell>
        </row>
        <row r="5082">
          <cell r="B5082">
            <v>2022707080038</v>
          </cell>
          <cell r="BP5082">
            <v>0</v>
          </cell>
        </row>
        <row r="5083">
          <cell r="B5083">
            <v>2025707080002</v>
          </cell>
          <cell r="BP5083">
            <v>100</v>
          </cell>
        </row>
        <row r="5084">
          <cell r="B5084">
            <v>2025707080003</v>
          </cell>
          <cell r="BP5084">
            <v>0</v>
          </cell>
        </row>
        <row r="5085">
          <cell r="B5085">
            <v>2025707080004</v>
          </cell>
          <cell r="BP5085">
            <v>40</v>
          </cell>
        </row>
        <row r="5086">
          <cell r="B5086">
            <v>2025707130004</v>
          </cell>
          <cell r="BP5086">
            <v>98.4</v>
          </cell>
        </row>
        <row r="5087">
          <cell r="B5087">
            <v>20191301010220</v>
          </cell>
          <cell r="BP5087">
            <v>50</v>
          </cell>
        </row>
        <row r="5088">
          <cell r="B5088">
            <v>2023707130088</v>
          </cell>
          <cell r="BP5088">
            <v>0</v>
          </cell>
        </row>
        <row r="5089">
          <cell r="B5089">
            <v>2025707130001</v>
          </cell>
          <cell r="BP5089">
            <v>60</v>
          </cell>
        </row>
        <row r="5090">
          <cell r="B5090">
            <v>2025707130002</v>
          </cell>
          <cell r="BP5090">
            <v>81.2</v>
          </cell>
        </row>
        <row r="5091">
          <cell r="B5091">
            <v>2025708200004</v>
          </cell>
          <cell r="BP5091">
            <v>67.599999999999994</v>
          </cell>
        </row>
        <row r="5092">
          <cell r="B5092">
            <v>2021708200079</v>
          </cell>
          <cell r="BP5092">
            <v>22.5</v>
          </cell>
        </row>
        <row r="5093">
          <cell r="B5093">
            <v>2022708200026</v>
          </cell>
          <cell r="BP5093">
            <v>20</v>
          </cell>
        </row>
        <row r="5094">
          <cell r="B5094">
            <v>2022708200040</v>
          </cell>
          <cell r="BP5094">
            <v>10.5</v>
          </cell>
        </row>
        <row r="5095">
          <cell r="B5095">
            <v>2023708200036</v>
          </cell>
          <cell r="BP5095">
            <v>34</v>
          </cell>
        </row>
        <row r="5096">
          <cell r="B5096">
            <v>2024708200011</v>
          </cell>
          <cell r="BP5096">
            <v>0</v>
          </cell>
        </row>
        <row r="5097">
          <cell r="B5097">
            <v>2023707420010</v>
          </cell>
          <cell r="BP5097">
            <v>90</v>
          </cell>
        </row>
        <row r="5098">
          <cell r="B5098">
            <v>2024707420007</v>
          </cell>
          <cell r="BP5098">
            <v>90</v>
          </cell>
        </row>
        <row r="5099">
          <cell r="B5099">
            <v>2025707420001</v>
          </cell>
          <cell r="BP5099">
            <v>75</v>
          </cell>
        </row>
        <row r="5100">
          <cell r="B5100">
            <v>2025707420004</v>
          </cell>
          <cell r="BP5100">
            <v>100</v>
          </cell>
        </row>
        <row r="5101">
          <cell r="B5101">
            <v>2025707420006</v>
          </cell>
          <cell r="BP5101">
            <v>0</v>
          </cell>
        </row>
        <row r="5102">
          <cell r="B5102" t="str">
            <v>2024N001890001</v>
          </cell>
          <cell r="BP5102">
            <v>0</v>
          </cell>
        </row>
        <row r="5103">
          <cell r="B5103" t="str">
            <v>2025M006590001</v>
          </cell>
          <cell r="BP5103">
            <v>0</v>
          </cell>
        </row>
        <row r="5104">
          <cell r="B5104">
            <v>2025700010002</v>
          </cell>
          <cell r="BP5104">
            <v>8.9</v>
          </cell>
        </row>
        <row r="5105">
          <cell r="B5105">
            <v>2025700010007</v>
          </cell>
          <cell r="BP5105">
            <v>80.5</v>
          </cell>
        </row>
        <row r="5106">
          <cell r="B5106">
            <v>2024700010133</v>
          </cell>
          <cell r="BP5106">
            <v>100</v>
          </cell>
        </row>
        <row r="5107">
          <cell r="B5107">
            <v>2025700010001</v>
          </cell>
          <cell r="BP5107">
            <v>100</v>
          </cell>
        </row>
        <row r="5108">
          <cell r="B5108">
            <v>2025700010005</v>
          </cell>
          <cell r="BP5108">
            <v>100</v>
          </cell>
        </row>
        <row r="5109">
          <cell r="B5109">
            <v>2025700010006</v>
          </cell>
          <cell r="BP5109">
            <v>89</v>
          </cell>
        </row>
        <row r="5110">
          <cell r="B5110">
            <v>2021700010123</v>
          </cell>
          <cell r="BP5110">
            <v>18.399999999999999</v>
          </cell>
        </row>
        <row r="5111">
          <cell r="B5111" t="str">
            <v>2024N001850001</v>
          </cell>
          <cell r="BP5111">
            <v>0</v>
          </cell>
        </row>
        <row r="5112">
          <cell r="B5112">
            <v>2022700010016</v>
          </cell>
          <cell r="BP5112">
            <v>0</v>
          </cell>
        </row>
        <row r="5113">
          <cell r="B5113">
            <v>2022700010018</v>
          </cell>
          <cell r="BP5113">
            <v>0</v>
          </cell>
        </row>
        <row r="5114">
          <cell r="B5114">
            <v>2022700010002</v>
          </cell>
          <cell r="BP5114">
            <v>0</v>
          </cell>
        </row>
        <row r="5115">
          <cell r="B5115" t="str">
            <v>2024N001660002</v>
          </cell>
          <cell r="BP5115">
            <v>28</v>
          </cell>
        </row>
        <row r="5116">
          <cell r="B5116">
            <v>2019000100034</v>
          </cell>
          <cell r="BP5116">
            <v>90</v>
          </cell>
        </row>
        <row r="5117">
          <cell r="B5117">
            <v>2021000100006</v>
          </cell>
          <cell r="BP5117">
            <v>100</v>
          </cell>
        </row>
        <row r="5118">
          <cell r="B5118">
            <v>2013000100074</v>
          </cell>
          <cell r="BP5118">
            <v>39</v>
          </cell>
        </row>
        <row r="5119">
          <cell r="B5119">
            <v>20170000020006</v>
          </cell>
          <cell r="BP5119">
            <v>14</v>
          </cell>
        </row>
        <row r="5120">
          <cell r="B5120">
            <v>2020000100644</v>
          </cell>
          <cell r="BP5120">
            <v>23</v>
          </cell>
        </row>
        <row r="5121">
          <cell r="B5121">
            <v>2021000020052</v>
          </cell>
          <cell r="BP5121">
            <v>45</v>
          </cell>
        </row>
        <row r="5122">
          <cell r="B5122">
            <v>2021000100333</v>
          </cell>
          <cell r="BP5122">
            <v>17.5</v>
          </cell>
        </row>
        <row r="5123">
          <cell r="B5123">
            <v>2021000100361</v>
          </cell>
          <cell r="BP5123">
            <v>17.5</v>
          </cell>
        </row>
        <row r="5124">
          <cell r="B5124">
            <v>2021000100520</v>
          </cell>
          <cell r="BP5124">
            <v>40</v>
          </cell>
        </row>
        <row r="5125">
          <cell r="B5125">
            <v>2021002700109</v>
          </cell>
          <cell r="BP5125">
            <v>90</v>
          </cell>
        </row>
        <row r="5126">
          <cell r="B5126">
            <v>2021002700364</v>
          </cell>
          <cell r="BP5126">
            <v>33.5</v>
          </cell>
        </row>
        <row r="5127">
          <cell r="B5127">
            <v>2023002700030</v>
          </cell>
          <cell r="BP5127">
            <v>100</v>
          </cell>
        </row>
        <row r="5128">
          <cell r="B5128">
            <v>2023002700076</v>
          </cell>
          <cell r="BP5128">
            <v>50</v>
          </cell>
        </row>
        <row r="5129">
          <cell r="B5129">
            <v>2023002700134</v>
          </cell>
          <cell r="BP5129">
            <v>100</v>
          </cell>
        </row>
        <row r="5130">
          <cell r="B5130">
            <v>2023002700150</v>
          </cell>
          <cell r="BP5130">
            <v>0</v>
          </cell>
        </row>
        <row r="5131">
          <cell r="B5131">
            <v>2023002700171</v>
          </cell>
          <cell r="BP5131">
            <v>90</v>
          </cell>
        </row>
        <row r="5132">
          <cell r="B5132">
            <v>2023002700177</v>
          </cell>
          <cell r="BP5132">
            <v>98.4</v>
          </cell>
        </row>
        <row r="5133">
          <cell r="B5133">
            <v>2024002700151</v>
          </cell>
          <cell r="BP5133">
            <v>94.8</v>
          </cell>
        </row>
        <row r="5134">
          <cell r="B5134">
            <v>2024002700176</v>
          </cell>
          <cell r="BP5134">
            <v>32.4</v>
          </cell>
        </row>
        <row r="5135">
          <cell r="B5135">
            <v>2024002700177</v>
          </cell>
          <cell r="BP5135">
            <v>79.2</v>
          </cell>
        </row>
        <row r="5136">
          <cell r="B5136">
            <v>2024002700183</v>
          </cell>
          <cell r="BP5136">
            <v>0</v>
          </cell>
        </row>
        <row r="5137">
          <cell r="B5137">
            <v>2024002700184</v>
          </cell>
          <cell r="BP5137">
            <v>90</v>
          </cell>
        </row>
        <row r="5138">
          <cell r="B5138">
            <v>2025000020019</v>
          </cell>
          <cell r="BP5138">
            <v>30</v>
          </cell>
        </row>
        <row r="5139">
          <cell r="B5139">
            <v>2025002700015</v>
          </cell>
          <cell r="BP5139">
            <v>100</v>
          </cell>
        </row>
        <row r="5140">
          <cell r="B5140">
            <v>2025002700023</v>
          </cell>
          <cell r="BP5140">
            <v>100</v>
          </cell>
        </row>
        <row r="5141">
          <cell r="B5141">
            <v>2025002700025</v>
          </cell>
          <cell r="BP5141">
            <v>0</v>
          </cell>
        </row>
        <row r="5142">
          <cell r="B5142">
            <v>2021002700194</v>
          </cell>
          <cell r="BP5142">
            <v>75</v>
          </cell>
        </row>
        <row r="5143">
          <cell r="B5143">
            <v>2023002700169</v>
          </cell>
          <cell r="BP5143">
            <v>100</v>
          </cell>
        </row>
        <row r="5144">
          <cell r="B5144">
            <v>2024002700158</v>
          </cell>
          <cell r="BP5144">
            <v>100</v>
          </cell>
        </row>
        <row r="5145">
          <cell r="B5145">
            <v>2024002700194</v>
          </cell>
          <cell r="BP5145">
            <v>100</v>
          </cell>
        </row>
        <row r="5146">
          <cell r="B5146">
            <v>2023002700170</v>
          </cell>
          <cell r="BP5146">
            <v>60</v>
          </cell>
        </row>
        <row r="5147">
          <cell r="B5147">
            <v>2025002700020</v>
          </cell>
          <cell r="BP5147">
            <v>40</v>
          </cell>
        </row>
        <row r="5148">
          <cell r="B5148">
            <v>2021000020028</v>
          </cell>
          <cell r="BP5148">
            <v>100</v>
          </cell>
        </row>
        <row r="5149">
          <cell r="B5149">
            <v>2023002700127</v>
          </cell>
          <cell r="BP5149">
            <v>100</v>
          </cell>
        </row>
        <row r="5150">
          <cell r="B5150">
            <v>2019000100005</v>
          </cell>
          <cell r="BP5150">
            <v>100</v>
          </cell>
        </row>
        <row r="5151">
          <cell r="B5151">
            <v>2024000100122</v>
          </cell>
          <cell r="BP5151">
            <v>94.8</v>
          </cell>
        </row>
        <row r="5152">
          <cell r="B5152">
            <v>2024002700075</v>
          </cell>
          <cell r="BP5152">
            <v>50</v>
          </cell>
        </row>
        <row r="5153">
          <cell r="B5153">
            <v>2024002700193</v>
          </cell>
          <cell r="BP5153">
            <v>92.8</v>
          </cell>
        </row>
        <row r="5154">
          <cell r="B5154">
            <v>2025002700010</v>
          </cell>
          <cell r="BP5154">
            <v>0</v>
          </cell>
        </row>
        <row r="5155">
          <cell r="B5155">
            <v>2025002700011</v>
          </cell>
          <cell r="BP5155">
            <v>100</v>
          </cell>
        </row>
        <row r="5156">
          <cell r="B5156">
            <v>2025002700008</v>
          </cell>
          <cell r="BP5156">
            <v>100</v>
          </cell>
        </row>
        <row r="5157">
          <cell r="B5157">
            <v>2019000020013</v>
          </cell>
          <cell r="BP5157">
            <v>50</v>
          </cell>
        </row>
        <row r="5158">
          <cell r="B5158">
            <v>20201301010046</v>
          </cell>
          <cell r="BP5158">
            <v>60</v>
          </cell>
        </row>
        <row r="5159">
          <cell r="B5159">
            <v>2025002700017</v>
          </cell>
          <cell r="BP5159">
            <v>100</v>
          </cell>
        </row>
        <row r="5160">
          <cell r="B5160">
            <v>2021002700388</v>
          </cell>
          <cell r="BP5160">
            <v>20.6</v>
          </cell>
        </row>
        <row r="5161">
          <cell r="B5161">
            <v>20221301010191</v>
          </cell>
          <cell r="BP5161">
            <v>25.5</v>
          </cell>
        </row>
        <row r="5162">
          <cell r="B5162">
            <v>2021002700378</v>
          </cell>
          <cell r="BP5162">
            <v>100</v>
          </cell>
        </row>
        <row r="5163">
          <cell r="B5163">
            <v>2025707710002</v>
          </cell>
          <cell r="BP5163">
            <v>50</v>
          </cell>
        </row>
        <row r="5164">
          <cell r="B5164">
            <v>2025707710003</v>
          </cell>
          <cell r="BP5164">
            <v>100</v>
          </cell>
        </row>
        <row r="5165">
          <cell r="B5165">
            <v>2025707710004</v>
          </cell>
          <cell r="BP5165">
            <v>100</v>
          </cell>
        </row>
        <row r="5166">
          <cell r="B5166">
            <v>2025707710005</v>
          </cell>
          <cell r="BP5166">
            <v>100</v>
          </cell>
        </row>
        <row r="5167">
          <cell r="B5167">
            <v>2020000100361</v>
          </cell>
          <cell r="BP5167">
            <v>29</v>
          </cell>
        </row>
        <row r="5168">
          <cell r="B5168">
            <v>2024000100130</v>
          </cell>
          <cell r="BP5168">
            <v>100</v>
          </cell>
        </row>
        <row r="5169">
          <cell r="B5169">
            <v>2020000100189</v>
          </cell>
          <cell r="BP5169">
            <v>100</v>
          </cell>
        </row>
        <row r="5170">
          <cell r="B5170">
            <v>2020000100675</v>
          </cell>
          <cell r="BP5170">
            <v>100</v>
          </cell>
        </row>
        <row r="5171">
          <cell r="B5171">
            <v>2024000100009</v>
          </cell>
          <cell r="BP5171">
            <v>100</v>
          </cell>
        </row>
        <row r="5172">
          <cell r="B5172">
            <v>2021000100033</v>
          </cell>
          <cell r="BP5172">
            <v>100</v>
          </cell>
        </row>
        <row r="5173">
          <cell r="B5173">
            <v>2018708230001</v>
          </cell>
          <cell r="BP5173">
            <v>0</v>
          </cell>
        </row>
        <row r="5174">
          <cell r="B5174">
            <v>2025708230005</v>
          </cell>
          <cell r="BP5174">
            <v>0</v>
          </cell>
        </row>
        <row r="5175">
          <cell r="B5175">
            <v>2025708230007</v>
          </cell>
          <cell r="BP5175">
            <v>22.4</v>
          </cell>
        </row>
        <row r="5176">
          <cell r="B5176">
            <v>2024002700066</v>
          </cell>
          <cell r="BP5176">
            <v>90</v>
          </cell>
        </row>
        <row r="5177">
          <cell r="B5177">
            <v>2025708230002</v>
          </cell>
          <cell r="BP5177">
            <v>100</v>
          </cell>
        </row>
        <row r="5178">
          <cell r="B5178">
            <v>2025708230006</v>
          </cell>
          <cell r="BP5178">
            <v>0</v>
          </cell>
        </row>
        <row r="5179">
          <cell r="B5179">
            <v>20201301011470</v>
          </cell>
          <cell r="BP5179">
            <v>36</v>
          </cell>
        </row>
        <row r="5180">
          <cell r="B5180">
            <v>2025730240002</v>
          </cell>
          <cell r="BP5180">
            <v>60</v>
          </cell>
        </row>
        <row r="5181">
          <cell r="B5181">
            <v>2025730240004</v>
          </cell>
          <cell r="BP5181">
            <v>40</v>
          </cell>
        </row>
        <row r="5182">
          <cell r="B5182">
            <v>2025730240005</v>
          </cell>
          <cell r="BP5182">
            <v>100</v>
          </cell>
        </row>
        <row r="5183">
          <cell r="B5183">
            <v>2024730550057</v>
          </cell>
          <cell r="BP5183">
            <v>100</v>
          </cell>
        </row>
        <row r="5184">
          <cell r="B5184">
            <v>2025730550003</v>
          </cell>
          <cell r="BP5184">
            <v>100</v>
          </cell>
        </row>
        <row r="5185">
          <cell r="B5185" t="str">
            <v>2023M001740002</v>
          </cell>
          <cell r="BP5185">
            <v>89</v>
          </cell>
        </row>
        <row r="5186">
          <cell r="B5186">
            <v>2019730670023</v>
          </cell>
          <cell r="BP5186">
            <v>48.4</v>
          </cell>
        </row>
        <row r="5187">
          <cell r="B5187">
            <v>20241301010059</v>
          </cell>
          <cell r="BP5187">
            <v>0</v>
          </cell>
        </row>
        <row r="5188">
          <cell r="B5188">
            <v>2024730670002</v>
          </cell>
          <cell r="BP5188">
            <v>43</v>
          </cell>
        </row>
        <row r="5189">
          <cell r="B5189">
            <v>2025730670001</v>
          </cell>
          <cell r="BP5189">
            <v>100</v>
          </cell>
        </row>
        <row r="5190">
          <cell r="B5190">
            <v>2025730670002</v>
          </cell>
          <cell r="BP5190">
            <v>100</v>
          </cell>
        </row>
        <row r="5191">
          <cell r="B5191">
            <v>2023731240006</v>
          </cell>
          <cell r="BP5191">
            <v>0</v>
          </cell>
        </row>
        <row r="5192">
          <cell r="B5192">
            <v>2024731240049</v>
          </cell>
          <cell r="BP5192">
            <v>0</v>
          </cell>
        </row>
        <row r="5193">
          <cell r="B5193">
            <v>2024731240051</v>
          </cell>
          <cell r="BP5193">
            <v>30</v>
          </cell>
        </row>
        <row r="5194">
          <cell r="B5194">
            <v>2025731240002</v>
          </cell>
          <cell r="BP5194">
            <v>40.6</v>
          </cell>
        </row>
        <row r="5195">
          <cell r="B5195">
            <v>2025731240003</v>
          </cell>
          <cell r="BP5195">
            <v>94</v>
          </cell>
        </row>
        <row r="5196">
          <cell r="B5196">
            <v>2025731480001</v>
          </cell>
          <cell r="BP5196">
            <v>33.200000000000003</v>
          </cell>
        </row>
        <row r="5197">
          <cell r="B5197">
            <v>2025731480004</v>
          </cell>
          <cell r="BP5197">
            <v>0</v>
          </cell>
        </row>
        <row r="5198">
          <cell r="B5198">
            <v>2022731680034</v>
          </cell>
          <cell r="BP5198">
            <v>100</v>
          </cell>
        </row>
        <row r="5199">
          <cell r="B5199">
            <v>20201301011328</v>
          </cell>
          <cell r="BP5199">
            <v>100</v>
          </cell>
        </row>
        <row r="5200">
          <cell r="B5200">
            <v>2024731680043</v>
          </cell>
          <cell r="BP5200">
            <v>100</v>
          </cell>
        </row>
        <row r="5201">
          <cell r="B5201">
            <v>20251301010189</v>
          </cell>
          <cell r="BP5201">
            <v>100</v>
          </cell>
        </row>
        <row r="5202">
          <cell r="B5202">
            <v>2025731680003</v>
          </cell>
          <cell r="BP5202">
            <v>100</v>
          </cell>
        </row>
        <row r="5203">
          <cell r="B5203">
            <v>2024732000032</v>
          </cell>
          <cell r="BP5203">
            <v>28</v>
          </cell>
        </row>
        <row r="5204">
          <cell r="B5204">
            <v>2025732000001</v>
          </cell>
          <cell r="BP5204">
            <v>35.799999999999997</v>
          </cell>
        </row>
        <row r="5205">
          <cell r="B5205">
            <v>2025732170001</v>
          </cell>
          <cell r="BP5205">
            <v>100</v>
          </cell>
        </row>
        <row r="5206">
          <cell r="B5206">
            <v>2024732360020</v>
          </cell>
          <cell r="BP5206">
            <v>68.8</v>
          </cell>
        </row>
        <row r="5207">
          <cell r="B5207">
            <v>2024732360021</v>
          </cell>
          <cell r="BP5207">
            <v>50</v>
          </cell>
        </row>
        <row r="5208">
          <cell r="B5208">
            <v>2024732360022</v>
          </cell>
          <cell r="BP5208">
            <v>30</v>
          </cell>
        </row>
        <row r="5209">
          <cell r="B5209">
            <v>2024732680072</v>
          </cell>
          <cell r="BP5209">
            <v>50</v>
          </cell>
        </row>
        <row r="5210">
          <cell r="B5210">
            <v>2024732750050</v>
          </cell>
          <cell r="BP5210">
            <v>100</v>
          </cell>
        </row>
        <row r="5211">
          <cell r="B5211">
            <v>2025732750001</v>
          </cell>
          <cell r="BP5211">
            <v>40</v>
          </cell>
        </row>
        <row r="5212">
          <cell r="B5212">
            <v>2025732830006</v>
          </cell>
          <cell r="BP5212">
            <v>60</v>
          </cell>
        </row>
        <row r="5213">
          <cell r="B5213">
            <v>2026732830001</v>
          </cell>
          <cell r="BP5213">
            <v>100</v>
          </cell>
        </row>
        <row r="5214">
          <cell r="B5214">
            <v>2024733190041</v>
          </cell>
          <cell r="BP5214">
            <v>100</v>
          </cell>
        </row>
        <row r="5215">
          <cell r="B5215">
            <v>2024733470037</v>
          </cell>
          <cell r="BP5215">
            <v>100</v>
          </cell>
        </row>
        <row r="5216">
          <cell r="B5216">
            <v>2023733490006</v>
          </cell>
          <cell r="BP5216">
            <v>43.8</v>
          </cell>
        </row>
        <row r="5217">
          <cell r="B5217">
            <v>2025733520001</v>
          </cell>
          <cell r="BP5217">
            <v>40.6</v>
          </cell>
        </row>
        <row r="5218">
          <cell r="B5218">
            <v>2025733520002</v>
          </cell>
          <cell r="BP5218">
            <v>39</v>
          </cell>
        </row>
        <row r="5219">
          <cell r="B5219">
            <v>2025733520003</v>
          </cell>
          <cell r="BP5219">
            <v>0</v>
          </cell>
        </row>
        <row r="5220">
          <cell r="B5220">
            <v>2025733520004</v>
          </cell>
          <cell r="BP5220">
            <v>0</v>
          </cell>
        </row>
        <row r="5221">
          <cell r="B5221">
            <v>2024734110061</v>
          </cell>
          <cell r="BP5221">
            <v>0</v>
          </cell>
        </row>
        <row r="5222">
          <cell r="B5222">
            <v>2025734110003</v>
          </cell>
          <cell r="BP5222">
            <v>100</v>
          </cell>
        </row>
        <row r="5223">
          <cell r="B5223">
            <v>2025734110004</v>
          </cell>
          <cell r="BP5223">
            <v>25.2</v>
          </cell>
        </row>
        <row r="5224">
          <cell r="B5224">
            <v>2025734110007</v>
          </cell>
          <cell r="BP5224">
            <v>50</v>
          </cell>
        </row>
        <row r="5225">
          <cell r="B5225">
            <v>2025734110005</v>
          </cell>
          <cell r="BP5225">
            <v>96</v>
          </cell>
        </row>
        <row r="5226">
          <cell r="B5226">
            <v>2025734430001</v>
          </cell>
          <cell r="BP5226">
            <v>100</v>
          </cell>
        </row>
        <row r="5227">
          <cell r="B5227">
            <v>2025734430002</v>
          </cell>
          <cell r="BP5227">
            <v>100</v>
          </cell>
        </row>
        <row r="5228">
          <cell r="B5228">
            <v>2025734430003</v>
          </cell>
          <cell r="BP5228">
            <v>100</v>
          </cell>
        </row>
        <row r="5229">
          <cell r="B5229" t="str">
            <v>2025N001040002</v>
          </cell>
          <cell r="BP5229">
            <v>33.6</v>
          </cell>
        </row>
        <row r="5230">
          <cell r="B5230">
            <v>2023734490006</v>
          </cell>
          <cell r="BP5230">
            <v>45</v>
          </cell>
        </row>
        <row r="5231">
          <cell r="B5231">
            <v>2024734490049</v>
          </cell>
          <cell r="BP5231">
            <v>90</v>
          </cell>
        </row>
        <row r="5232">
          <cell r="B5232">
            <v>2024734490050</v>
          </cell>
          <cell r="BP5232">
            <v>90</v>
          </cell>
        </row>
        <row r="5233">
          <cell r="B5233">
            <v>2025734490005</v>
          </cell>
          <cell r="BP5233">
            <v>100</v>
          </cell>
        </row>
        <row r="5234">
          <cell r="B5234">
            <v>2025734490007</v>
          </cell>
          <cell r="BP5234">
            <v>60</v>
          </cell>
        </row>
        <row r="5235">
          <cell r="B5235">
            <v>2024734610053</v>
          </cell>
          <cell r="BP5235">
            <v>50</v>
          </cell>
        </row>
        <row r="5236">
          <cell r="B5236">
            <v>2025734610001</v>
          </cell>
          <cell r="BP5236">
            <v>92.8</v>
          </cell>
        </row>
        <row r="5237">
          <cell r="B5237">
            <v>2025734610006</v>
          </cell>
          <cell r="BP5237">
            <v>100</v>
          </cell>
        </row>
        <row r="5238">
          <cell r="B5238">
            <v>2025734610004</v>
          </cell>
          <cell r="BP5238">
            <v>0</v>
          </cell>
        </row>
        <row r="5239">
          <cell r="B5239">
            <v>2018734830004</v>
          </cell>
          <cell r="BP5239">
            <v>0</v>
          </cell>
        </row>
        <row r="5240">
          <cell r="B5240">
            <v>2025735040001</v>
          </cell>
          <cell r="BP5240">
            <v>49.6</v>
          </cell>
        </row>
        <row r="5241">
          <cell r="B5241">
            <v>2026735470001</v>
          </cell>
          <cell r="BP5241">
            <v>0</v>
          </cell>
        </row>
        <row r="5242">
          <cell r="B5242">
            <v>2026735470002</v>
          </cell>
          <cell r="BP5242">
            <v>0</v>
          </cell>
        </row>
        <row r="5243">
          <cell r="B5243">
            <v>2024735550056</v>
          </cell>
          <cell r="BP5243">
            <v>93.6</v>
          </cell>
        </row>
        <row r="5244">
          <cell r="B5244">
            <v>2020735630008</v>
          </cell>
          <cell r="BP5244">
            <v>26.5</v>
          </cell>
        </row>
        <row r="5245">
          <cell r="B5245">
            <v>2021735630020</v>
          </cell>
          <cell r="BP5245">
            <v>30</v>
          </cell>
        </row>
        <row r="5246">
          <cell r="B5246">
            <v>2021735630028</v>
          </cell>
          <cell r="BP5246">
            <v>0</v>
          </cell>
        </row>
        <row r="5247">
          <cell r="B5247">
            <v>2024735630002</v>
          </cell>
          <cell r="BP5247">
            <v>0</v>
          </cell>
        </row>
        <row r="5248">
          <cell r="B5248">
            <v>2024735630003</v>
          </cell>
          <cell r="BP5248">
            <v>0</v>
          </cell>
        </row>
        <row r="5249">
          <cell r="B5249" t="str">
            <v>2025M006730001</v>
          </cell>
          <cell r="BP5249">
            <v>0</v>
          </cell>
        </row>
        <row r="5250">
          <cell r="B5250">
            <v>2025735630001</v>
          </cell>
          <cell r="BP5250">
            <v>7</v>
          </cell>
        </row>
        <row r="5251">
          <cell r="B5251">
            <v>2018735850003</v>
          </cell>
          <cell r="BP5251">
            <v>50</v>
          </cell>
        </row>
        <row r="5252">
          <cell r="B5252">
            <v>2022735850007</v>
          </cell>
          <cell r="BP5252">
            <v>20</v>
          </cell>
        </row>
        <row r="5253">
          <cell r="B5253">
            <v>2025735850003</v>
          </cell>
          <cell r="BP5253">
            <v>0</v>
          </cell>
        </row>
        <row r="5254">
          <cell r="B5254">
            <v>2023735850003</v>
          </cell>
          <cell r="BP5254">
            <v>50</v>
          </cell>
        </row>
        <row r="5255">
          <cell r="B5255" t="str">
            <v>2023I00010052</v>
          </cell>
          <cell r="BP5255">
            <v>100</v>
          </cell>
        </row>
        <row r="5256">
          <cell r="B5256">
            <v>20201301011307</v>
          </cell>
          <cell r="BP5256">
            <v>68.8</v>
          </cell>
        </row>
        <row r="5257">
          <cell r="B5257">
            <v>2023736160009</v>
          </cell>
          <cell r="BP5257">
            <v>1</v>
          </cell>
        </row>
        <row r="5258">
          <cell r="B5258">
            <v>20241301010288</v>
          </cell>
          <cell r="BP5258">
            <v>40</v>
          </cell>
        </row>
        <row r="5259">
          <cell r="B5259">
            <v>2025736160001</v>
          </cell>
          <cell r="BP5259">
            <v>100</v>
          </cell>
        </row>
        <row r="5260">
          <cell r="B5260">
            <v>2025736160002</v>
          </cell>
          <cell r="BP5260">
            <v>100</v>
          </cell>
        </row>
        <row r="5261">
          <cell r="B5261">
            <v>2025736160004</v>
          </cell>
          <cell r="BP5261">
            <v>100</v>
          </cell>
        </row>
        <row r="5262">
          <cell r="B5262">
            <v>2025736160005</v>
          </cell>
          <cell r="BP5262">
            <v>40</v>
          </cell>
        </row>
        <row r="5263">
          <cell r="B5263">
            <v>2019736220007</v>
          </cell>
          <cell r="BP5263">
            <v>30.3</v>
          </cell>
        </row>
        <row r="5264">
          <cell r="B5264">
            <v>2023736240008</v>
          </cell>
          <cell r="BP5264">
            <v>100</v>
          </cell>
        </row>
        <row r="5265">
          <cell r="B5265">
            <v>2025736240001</v>
          </cell>
          <cell r="BP5265">
            <v>100</v>
          </cell>
        </row>
        <row r="5266">
          <cell r="B5266">
            <v>2023736710001</v>
          </cell>
          <cell r="BP5266">
            <v>24</v>
          </cell>
        </row>
        <row r="5267">
          <cell r="B5267">
            <v>2023736750001</v>
          </cell>
          <cell r="BP5267">
            <v>19</v>
          </cell>
        </row>
        <row r="5268">
          <cell r="B5268">
            <v>2024736750039</v>
          </cell>
          <cell r="BP5268">
            <v>19</v>
          </cell>
        </row>
        <row r="5269">
          <cell r="B5269">
            <v>2025736750002</v>
          </cell>
          <cell r="BP5269">
            <v>0</v>
          </cell>
        </row>
        <row r="5270">
          <cell r="B5270">
            <v>2025736750003</v>
          </cell>
          <cell r="BP5270">
            <v>50</v>
          </cell>
        </row>
        <row r="5271">
          <cell r="B5271">
            <v>2025736750004</v>
          </cell>
          <cell r="BP5271">
            <v>0</v>
          </cell>
        </row>
        <row r="5272">
          <cell r="B5272">
            <v>2025736750005</v>
          </cell>
          <cell r="BP5272">
            <v>0</v>
          </cell>
        </row>
        <row r="5273">
          <cell r="B5273">
            <v>2025736750006</v>
          </cell>
          <cell r="BP5273">
            <v>0</v>
          </cell>
        </row>
        <row r="5274">
          <cell r="B5274">
            <v>2026736860001</v>
          </cell>
          <cell r="BP5274">
            <v>40</v>
          </cell>
        </row>
        <row r="5275">
          <cell r="B5275">
            <v>2025737700002</v>
          </cell>
          <cell r="BP5275">
            <v>100</v>
          </cell>
        </row>
        <row r="5276">
          <cell r="B5276">
            <v>2013000100098</v>
          </cell>
          <cell r="BP5276">
            <v>0</v>
          </cell>
        </row>
        <row r="5277">
          <cell r="B5277" t="str">
            <v>2025M006420001</v>
          </cell>
          <cell r="BP5277">
            <v>74.400000000000006</v>
          </cell>
        </row>
        <row r="5278">
          <cell r="B5278">
            <v>2012000100009</v>
          </cell>
          <cell r="BP5278">
            <v>0</v>
          </cell>
        </row>
        <row r="5279">
          <cell r="B5279">
            <v>2020000100624</v>
          </cell>
          <cell r="BP5279">
            <v>0</v>
          </cell>
        </row>
        <row r="5280">
          <cell r="B5280">
            <v>2020004730089</v>
          </cell>
          <cell r="BP5280">
            <v>0</v>
          </cell>
        </row>
        <row r="5281">
          <cell r="B5281">
            <v>2021000060020</v>
          </cell>
          <cell r="BP5281">
            <v>100</v>
          </cell>
        </row>
        <row r="5282">
          <cell r="B5282">
            <v>2021000100154</v>
          </cell>
          <cell r="BP5282">
            <v>95.6</v>
          </cell>
        </row>
        <row r="5283">
          <cell r="B5283">
            <v>2021000100347</v>
          </cell>
          <cell r="BP5283">
            <v>100</v>
          </cell>
        </row>
        <row r="5284">
          <cell r="B5284">
            <v>2021000100383</v>
          </cell>
          <cell r="BP5284">
            <v>8.5</v>
          </cell>
        </row>
        <row r="5285">
          <cell r="B5285">
            <v>2021000100485</v>
          </cell>
          <cell r="BP5285">
            <v>25.6</v>
          </cell>
        </row>
        <row r="5286">
          <cell r="B5286">
            <v>2022000060023</v>
          </cell>
          <cell r="BP5286">
            <v>100</v>
          </cell>
        </row>
        <row r="5287">
          <cell r="B5287">
            <v>2022004730037</v>
          </cell>
          <cell r="BP5287">
            <v>31.8</v>
          </cell>
        </row>
        <row r="5288">
          <cell r="B5288">
            <v>2022004730090</v>
          </cell>
          <cell r="BP5288">
            <v>50</v>
          </cell>
        </row>
        <row r="5289">
          <cell r="B5289" t="str">
            <v>2023N001830002</v>
          </cell>
          <cell r="BP5289">
            <v>100</v>
          </cell>
        </row>
        <row r="5290">
          <cell r="B5290">
            <v>2023004730066</v>
          </cell>
          <cell r="BP5290">
            <v>50</v>
          </cell>
        </row>
        <row r="5291">
          <cell r="B5291">
            <v>2024000060003</v>
          </cell>
          <cell r="BP5291">
            <v>0</v>
          </cell>
        </row>
        <row r="5292">
          <cell r="B5292">
            <v>2024000060007</v>
          </cell>
          <cell r="BP5292">
            <v>92</v>
          </cell>
        </row>
        <row r="5293">
          <cell r="B5293">
            <v>2024004730012</v>
          </cell>
          <cell r="BP5293">
            <v>0</v>
          </cell>
        </row>
        <row r="5294">
          <cell r="B5294">
            <v>2024004730103</v>
          </cell>
          <cell r="BP5294">
            <v>100</v>
          </cell>
        </row>
        <row r="5295">
          <cell r="B5295">
            <v>2024004730113</v>
          </cell>
          <cell r="BP5295">
            <v>100</v>
          </cell>
        </row>
        <row r="5296">
          <cell r="B5296">
            <v>2025004730001</v>
          </cell>
          <cell r="BP5296">
            <v>72</v>
          </cell>
        </row>
        <row r="5297">
          <cell r="B5297">
            <v>2025004730007</v>
          </cell>
          <cell r="BP5297">
            <v>100</v>
          </cell>
        </row>
        <row r="5298">
          <cell r="B5298">
            <v>2019000100007</v>
          </cell>
          <cell r="BP5298">
            <v>47.2</v>
          </cell>
        </row>
        <row r="5299">
          <cell r="B5299">
            <v>2023004730072</v>
          </cell>
          <cell r="BP5299">
            <v>0</v>
          </cell>
        </row>
        <row r="5300">
          <cell r="B5300">
            <v>2023004730061</v>
          </cell>
          <cell r="BP5300">
            <v>0</v>
          </cell>
        </row>
        <row r="5301">
          <cell r="B5301">
            <v>2023000100027</v>
          </cell>
          <cell r="BP5301">
            <v>100</v>
          </cell>
        </row>
        <row r="5302">
          <cell r="B5302" t="str">
            <v>2024M002160003</v>
          </cell>
          <cell r="BP5302">
            <v>50</v>
          </cell>
        </row>
        <row r="5303">
          <cell r="B5303">
            <v>2023004730054</v>
          </cell>
          <cell r="BP5303">
            <v>40.6</v>
          </cell>
        </row>
        <row r="5304">
          <cell r="B5304">
            <v>2015004730006</v>
          </cell>
          <cell r="BP5304">
            <v>0</v>
          </cell>
        </row>
        <row r="5305">
          <cell r="B5305">
            <v>2022734490011</v>
          </cell>
          <cell r="BP5305">
            <v>10</v>
          </cell>
        </row>
        <row r="5306">
          <cell r="B5306">
            <v>2025004730002</v>
          </cell>
          <cell r="BP5306">
            <v>100</v>
          </cell>
        </row>
        <row r="5307">
          <cell r="B5307">
            <v>2023004730006</v>
          </cell>
          <cell r="BP5307">
            <v>100</v>
          </cell>
        </row>
        <row r="5308">
          <cell r="B5308">
            <v>2019000100014</v>
          </cell>
          <cell r="BP5308">
            <v>81.2</v>
          </cell>
        </row>
        <row r="5309">
          <cell r="B5309">
            <v>2021000100021</v>
          </cell>
          <cell r="BP5309">
            <v>92.8</v>
          </cell>
        </row>
        <row r="5310">
          <cell r="B5310">
            <v>2019000100029</v>
          </cell>
          <cell r="BP5310">
            <v>100</v>
          </cell>
        </row>
        <row r="5311">
          <cell r="B5311">
            <v>2024000100091</v>
          </cell>
          <cell r="BP5311">
            <v>72.400000000000006</v>
          </cell>
        </row>
        <row r="5312">
          <cell r="B5312">
            <v>2019000100011</v>
          </cell>
          <cell r="BP5312">
            <v>74.400000000000006</v>
          </cell>
        </row>
        <row r="5313">
          <cell r="B5313">
            <v>2020000100621</v>
          </cell>
          <cell r="BP5313">
            <v>100</v>
          </cell>
        </row>
        <row r="5314">
          <cell r="B5314">
            <v>2019000100036</v>
          </cell>
          <cell r="BP5314">
            <v>69.099999999999994</v>
          </cell>
        </row>
        <row r="5315">
          <cell r="B5315">
            <v>2019000100040</v>
          </cell>
          <cell r="BP5315">
            <v>89</v>
          </cell>
        </row>
        <row r="5316">
          <cell r="B5316">
            <v>2021000100095</v>
          </cell>
          <cell r="BP5316">
            <v>89</v>
          </cell>
        </row>
        <row r="5317">
          <cell r="B5317">
            <v>2020000100594</v>
          </cell>
          <cell r="BP5317">
            <v>100</v>
          </cell>
        </row>
        <row r="5318">
          <cell r="B5318">
            <v>2024000100107</v>
          </cell>
          <cell r="BP5318">
            <v>56</v>
          </cell>
        </row>
        <row r="5319">
          <cell r="B5319">
            <v>2025738540001</v>
          </cell>
          <cell r="BP5319">
            <v>4</v>
          </cell>
        </row>
        <row r="5320">
          <cell r="B5320">
            <v>2024738610042</v>
          </cell>
          <cell r="BP5320">
            <v>38</v>
          </cell>
        </row>
        <row r="5321">
          <cell r="B5321">
            <v>2025738610006</v>
          </cell>
          <cell r="BP5321">
            <v>0</v>
          </cell>
        </row>
        <row r="5322">
          <cell r="B5322">
            <v>2025760200002</v>
          </cell>
          <cell r="BP5322">
            <v>89</v>
          </cell>
        </row>
        <row r="5323">
          <cell r="B5323">
            <v>2025760360001</v>
          </cell>
          <cell r="BP5323">
            <v>78</v>
          </cell>
        </row>
        <row r="5324">
          <cell r="B5324">
            <v>2024760410067</v>
          </cell>
          <cell r="BP5324">
            <v>41.6</v>
          </cell>
        </row>
        <row r="5325">
          <cell r="B5325">
            <v>2025760410001</v>
          </cell>
          <cell r="BP5325">
            <v>82.4</v>
          </cell>
        </row>
        <row r="5326">
          <cell r="B5326">
            <v>2025761000002</v>
          </cell>
          <cell r="BP5326">
            <v>0</v>
          </cell>
        </row>
        <row r="5327">
          <cell r="B5327">
            <v>2023761090345</v>
          </cell>
          <cell r="BP5327">
            <v>38.6</v>
          </cell>
        </row>
        <row r="5328">
          <cell r="B5328">
            <v>2025761090003</v>
          </cell>
          <cell r="BP5328">
            <v>100</v>
          </cell>
        </row>
        <row r="5329">
          <cell r="B5329">
            <v>2024761090311</v>
          </cell>
          <cell r="BP5329">
            <v>100</v>
          </cell>
        </row>
        <row r="5330">
          <cell r="B5330">
            <v>2025761130001</v>
          </cell>
          <cell r="BP5330">
            <v>100</v>
          </cell>
        </row>
        <row r="5331">
          <cell r="B5331">
            <v>2025761260004</v>
          </cell>
          <cell r="BP5331">
            <v>44.5</v>
          </cell>
        </row>
        <row r="5332">
          <cell r="B5332">
            <v>2025761260006</v>
          </cell>
          <cell r="BP5332">
            <v>100</v>
          </cell>
        </row>
        <row r="5333">
          <cell r="B5333">
            <v>2025761260008</v>
          </cell>
          <cell r="BP5333">
            <v>40</v>
          </cell>
        </row>
        <row r="5334">
          <cell r="B5334">
            <v>2026761470001</v>
          </cell>
          <cell r="BP5334">
            <v>100</v>
          </cell>
        </row>
        <row r="5335">
          <cell r="B5335">
            <v>2025761470002</v>
          </cell>
          <cell r="BP5335">
            <v>100</v>
          </cell>
        </row>
        <row r="5336">
          <cell r="B5336">
            <v>2023762460001</v>
          </cell>
          <cell r="BP5336">
            <v>0</v>
          </cell>
        </row>
        <row r="5337">
          <cell r="B5337">
            <v>2023762460002</v>
          </cell>
          <cell r="BP5337">
            <v>0</v>
          </cell>
        </row>
        <row r="5338">
          <cell r="B5338">
            <v>2025762480003</v>
          </cell>
          <cell r="BP5338">
            <v>100</v>
          </cell>
        </row>
        <row r="5339">
          <cell r="B5339">
            <v>2025762500001</v>
          </cell>
          <cell r="BP5339">
            <v>45.5</v>
          </cell>
        </row>
        <row r="5340">
          <cell r="B5340">
            <v>2025762750001</v>
          </cell>
          <cell r="BP5340">
            <v>44.5</v>
          </cell>
        </row>
        <row r="5341">
          <cell r="B5341">
            <v>2025762750002</v>
          </cell>
          <cell r="BP5341">
            <v>26.7</v>
          </cell>
        </row>
        <row r="5342">
          <cell r="B5342">
            <v>2025762750009</v>
          </cell>
          <cell r="BP5342">
            <v>60</v>
          </cell>
        </row>
        <row r="5343">
          <cell r="B5343">
            <v>2025762750008</v>
          </cell>
          <cell r="BP5343">
            <v>68.400000000000006</v>
          </cell>
        </row>
        <row r="5344">
          <cell r="B5344">
            <v>2026762750001</v>
          </cell>
          <cell r="BP5344">
            <v>60</v>
          </cell>
        </row>
        <row r="5345">
          <cell r="B5345">
            <v>2018762750134</v>
          </cell>
          <cell r="BP5345">
            <v>0</v>
          </cell>
        </row>
        <row r="5346">
          <cell r="B5346">
            <v>20201301010922</v>
          </cell>
          <cell r="BP5346">
            <v>100</v>
          </cell>
        </row>
        <row r="5347">
          <cell r="B5347">
            <v>2025763060003</v>
          </cell>
          <cell r="BP5347">
            <v>100</v>
          </cell>
        </row>
        <row r="5348">
          <cell r="B5348">
            <v>2017763060002</v>
          </cell>
          <cell r="BP5348">
            <v>24.5</v>
          </cell>
        </row>
        <row r="5349">
          <cell r="B5349">
            <v>2025763180001</v>
          </cell>
          <cell r="BP5349">
            <v>60</v>
          </cell>
        </row>
        <row r="5350">
          <cell r="B5350">
            <v>2025763640002</v>
          </cell>
          <cell r="BP5350">
            <v>60</v>
          </cell>
        </row>
        <row r="5351">
          <cell r="B5351">
            <v>2025764000001</v>
          </cell>
          <cell r="BP5351">
            <v>87.6</v>
          </cell>
        </row>
        <row r="5352">
          <cell r="B5352">
            <v>2025764030002</v>
          </cell>
          <cell r="BP5352">
            <v>100</v>
          </cell>
        </row>
        <row r="5353">
          <cell r="B5353">
            <v>2025764970002</v>
          </cell>
          <cell r="BP5353">
            <v>100</v>
          </cell>
        </row>
        <row r="5354">
          <cell r="B5354">
            <v>2026764970001</v>
          </cell>
          <cell r="BP5354">
            <v>0</v>
          </cell>
        </row>
        <row r="5355">
          <cell r="B5355">
            <v>2023764970006</v>
          </cell>
          <cell r="BP5355">
            <v>0</v>
          </cell>
        </row>
        <row r="5356">
          <cell r="B5356">
            <v>2024762750063</v>
          </cell>
          <cell r="BP5356">
            <v>72.3</v>
          </cell>
        </row>
        <row r="5357">
          <cell r="B5357">
            <v>2017765630018</v>
          </cell>
          <cell r="BP5357">
            <v>0</v>
          </cell>
        </row>
        <row r="5358">
          <cell r="B5358">
            <v>2024766060086</v>
          </cell>
          <cell r="BP5358">
            <v>50</v>
          </cell>
        </row>
        <row r="5359">
          <cell r="B5359">
            <v>2025766160002</v>
          </cell>
          <cell r="BP5359">
            <v>100</v>
          </cell>
        </row>
        <row r="5360">
          <cell r="B5360">
            <v>2025766160001</v>
          </cell>
          <cell r="BP5360">
            <v>0</v>
          </cell>
        </row>
        <row r="5361">
          <cell r="B5361">
            <v>2023766220088</v>
          </cell>
          <cell r="BP5361">
            <v>0</v>
          </cell>
        </row>
        <row r="5362">
          <cell r="B5362">
            <v>2025766220001</v>
          </cell>
          <cell r="BP5362">
            <v>44.2</v>
          </cell>
        </row>
        <row r="5363">
          <cell r="B5363">
            <v>2025766220004</v>
          </cell>
          <cell r="BP5363">
            <v>0</v>
          </cell>
        </row>
        <row r="5364">
          <cell r="B5364">
            <v>2025768450003</v>
          </cell>
          <cell r="BP5364">
            <v>50</v>
          </cell>
        </row>
        <row r="5365">
          <cell r="B5365">
            <v>2022768450001</v>
          </cell>
          <cell r="BP5365">
            <v>0</v>
          </cell>
        </row>
        <row r="5366">
          <cell r="B5366">
            <v>2020000100066</v>
          </cell>
          <cell r="BP5366">
            <v>44.5</v>
          </cell>
        </row>
        <row r="5367">
          <cell r="B5367">
            <v>2021000100360</v>
          </cell>
          <cell r="BP5367">
            <v>100</v>
          </cell>
        </row>
        <row r="5368">
          <cell r="B5368">
            <v>2024000030023</v>
          </cell>
          <cell r="BP5368">
            <v>56</v>
          </cell>
        </row>
        <row r="5369">
          <cell r="B5369">
            <v>2024003760121</v>
          </cell>
          <cell r="BP5369">
            <v>100</v>
          </cell>
        </row>
        <row r="5370">
          <cell r="B5370">
            <v>2025003760001</v>
          </cell>
          <cell r="BP5370">
            <v>64.400000000000006</v>
          </cell>
        </row>
        <row r="5371">
          <cell r="B5371">
            <v>2025003760004</v>
          </cell>
          <cell r="BP5371">
            <v>94.8</v>
          </cell>
        </row>
        <row r="5372">
          <cell r="B5372">
            <v>2016000030006</v>
          </cell>
          <cell r="BP5372">
            <v>100</v>
          </cell>
        </row>
        <row r="5373">
          <cell r="B5373">
            <v>2018000030035</v>
          </cell>
          <cell r="BP5373">
            <v>100</v>
          </cell>
        </row>
        <row r="5374">
          <cell r="B5374">
            <v>2022003760023</v>
          </cell>
          <cell r="BP5374">
            <v>100</v>
          </cell>
        </row>
        <row r="5375">
          <cell r="B5375">
            <v>2024003760009</v>
          </cell>
          <cell r="BP5375">
            <v>100</v>
          </cell>
        </row>
        <row r="5376">
          <cell r="B5376">
            <v>2024000030014</v>
          </cell>
          <cell r="BP5376">
            <v>92.8</v>
          </cell>
        </row>
        <row r="5377">
          <cell r="B5377">
            <v>2024003760011</v>
          </cell>
          <cell r="BP5377">
            <v>100</v>
          </cell>
        </row>
        <row r="5378">
          <cell r="B5378">
            <v>2024003760204</v>
          </cell>
          <cell r="BP5378">
            <v>66.900000000000006</v>
          </cell>
        </row>
        <row r="5379">
          <cell r="B5379">
            <v>2025003760002</v>
          </cell>
          <cell r="BP5379">
            <v>100</v>
          </cell>
        </row>
        <row r="5380">
          <cell r="B5380">
            <v>2025003760003</v>
          </cell>
          <cell r="BP5380">
            <v>100</v>
          </cell>
        </row>
        <row r="5381">
          <cell r="B5381">
            <v>2025003760005</v>
          </cell>
          <cell r="BP5381">
            <v>100</v>
          </cell>
        </row>
        <row r="5382">
          <cell r="B5382">
            <v>2025003760006</v>
          </cell>
          <cell r="BP5382">
            <v>100</v>
          </cell>
        </row>
        <row r="5383">
          <cell r="B5383">
            <v>2025003760008</v>
          </cell>
          <cell r="BP5383">
            <v>89</v>
          </cell>
        </row>
        <row r="5384">
          <cell r="B5384">
            <v>2021000100160</v>
          </cell>
          <cell r="BP5384">
            <v>100</v>
          </cell>
        </row>
        <row r="5385">
          <cell r="B5385">
            <v>2024000100112</v>
          </cell>
          <cell r="BP5385">
            <v>100</v>
          </cell>
        </row>
        <row r="5386">
          <cell r="B5386">
            <v>2017000030159</v>
          </cell>
          <cell r="BP5386">
            <v>0</v>
          </cell>
        </row>
        <row r="5387">
          <cell r="B5387">
            <v>2022000100103</v>
          </cell>
          <cell r="BP5387">
            <v>44.5</v>
          </cell>
        </row>
        <row r="5388">
          <cell r="B5388">
            <v>2025000030002</v>
          </cell>
          <cell r="BP5388">
            <v>100</v>
          </cell>
        </row>
        <row r="5389">
          <cell r="B5389">
            <v>2019000100024</v>
          </cell>
          <cell r="BP5389">
            <v>100</v>
          </cell>
        </row>
        <row r="5390">
          <cell r="B5390">
            <v>2021000100018</v>
          </cell>
          <cell r="BP5390">
            <v>22</v>
          </cell>
        </row>
        <row r="5391">
          <cell r="B5391">
            <v>2020000100345</v>
          </cell>
          <cell r="BP5391">
            <v>81.2</v>
          </cell>
        </row>
        <row r="5392">
          <cell r="B5392">
            <v>2021000100099</v>
          </cell>
          <cell r="BP5392">
            <v>100</v>
          </cell>
        </row>
        <row r="5393">
          <cell r="B5393">
            <v>2024000100016</v>
          </cell>
          <cell r="BP5393">
            <v>76.8</v>
          </cell>
        </row>
        <row r="5394">
          <cell r="B5394">
            <v>2024000100089</v>
          </cell>
          <cell r="BP5394">
            <v>81.2</v>
          </cell>
        </row>
        <row r="5395">
          <cell r="B5395">
            <v>2024000100110</v>
          </cell>
          <cell r="BP5395">
            <v>93.6</v>
          </cell>
        </row>
        <row r="5396">
          <cell r="B5396">
            <v>2022000100133</v>
          </cell>
          <cell r="BP5396">
            <v>93.6</v>
          </cell>
        </row>
        <row r="5397">
          <cell r="B5397">
            <v>2025768690002</v>
          </cell>
          <cell r="BP5397">
            <v>86</v>
          </cell>
        </row>
        <row r="5398">
          <cell r="B5398">
            <v>2025768690003</v>
          </cell>
          <cell r="BP5398">
            <v>0</v>
          </cell>
        </row>
        <row r="5399">
          <cell r="B5399">
            <v>2024768900176</v>
          </cell>
          <cell r="BP5399">
            <v>18</v>
          </cell>
        </row>
        <row r="5400">
          <cell r="B5400">
            <v>2025768950001</v>
          </cell>
          <cell r="BP5400">
            <v>31.2</v>
          </cell>
        </row>
        <row r="5401">
          <cell r="B5401">
            <v>2022768950001</v>
          </cell>
          <cell r="BP5401">
            <v>17.8</v>
          </cell>
        </row>
        <row r="5402">
          <cell r="B5402" t="str">
            <v>2024I00010125</v>
          </cell>
          <cell r="BP5402">
            <v>89</v>
          </cell>
        </row>
        <row r="5403">
          <cell r="B5403" t="str">
            <v>2023I00010038</v>
          </cell>
          <cell r="BP5403">
            <v>100</v>
          </cell>
        </row>
        <row r="5404">
          <cell r="B5404">
            <v>2025971610004</v>
          </cell>
          <cell r="BP5404">
            <v>100</v>
          </cell>
        </row>
        <row r="5405">
          <cell r="B5405">
            <v>2025971610002</v>
          </cell>
          <cell r="BP5405">
            <v>0</v>
          </cell>
        </row>
        <row r="5406">
          <cell r="B5406">
            <v>2025971610003</v>
          </cell>
          <cell r="BP5406">
            <v>0</v>
          </cell>
        </row>
        <row r="5407">
          <cell r="B5407">
            <v>2024970010138</v>
          </cell>
          <cell r="BP5407">
            <v>62</v>
          </cell>
        </row>
        <row r="5408">
          <cell r="B5408">
            <v>2024970010139</v>
          </cell>
          <cell r="BP5408">
            <v>100</v>
          </cell>
        </row>
        <row r="5409">
          <cell r="B5409">
            <v>2025970010001</v>
          </cell>
          <cell r="BP5409">
            <v>100</v>
          </cell>
        </row>
        <row r="5410">
          <cell r="B5410">
            <v>2023970010032</v>
          </cell>
          <cell r="BP5410">
            <v>95.6</v>
          </cell>
        </row>
        <row r="5411">
          <cell r="B5411">
            <v>2023970010040</v>
          </cell>
          <cell r="BP5411">
            <v>0</v>
          </cell>
        </row>
        <row r="5412">
          <cell r="B5412">
            <v>2022970010061</v>
          </cell>
          <cell r="BP5412">
            <v>0</v>
          </cell>
        </row>
        <row r="5413">
          <cell r="B5413">
            <v>2023970010042</v>
          </cell>
          <cell r="BP5413">
            <v>36</v>
          </cell>
        </row>
        <row r="5414">
          <cell r="B5414">
            <v>2025976660001</v>
          </cell>
          <cell r="BP5414">
            <v>100</v>
          </cell>
        </row>
        <row r="5415">
          <cell r="B5415">
            <v>2025976660002</v>
          </cell>
          <cell r="BP5415">
            <v>0</v>
          </cell>
        </row>
        <row r="5416">
          <cell r="B5416">
            <v>2024976660044</v>
          </cell>
          <cell r="BP5416">
            <v>90</v>
          </cell>
        </row>
        <row r="5417">
          <cell r="B5417">
            <v>2025976660003</v>
          </cell>
          <cell r="BP5417">
            <v>0</v>
          </cell>
        </row>
        <row r="5418">
          <cell r="B5418">
            <v>2024976660084</v>
          </cell>
          <cell r="BP5418">
            <v>60</v>
          </cell>
        </row>
        <row r="5419">
          <cell r="B5419">
            <v>2024005970192</v>
          </cell>
          <cell r="BP5419">
            <v>100</v>
          </cell>
        </row>
        <row r="5420">
          <cell r="B5420">
            <v>2024005970193</v>
          </cell>
          <cell r="BP5420">
            <v>100</v>
          </cell>
        </row>
        <row r="5421">
          <cell r="B5421">
            <v>2024005970196</v>
          </cell>
          <cell r="BP5421">
            <v>100</v>
          </cell>
        </row>
        <row r="5422">
          <cell r="B5422">
            <v>2025005970001</v>
          </cell>
          <cell r="BP5422">
            <v>100</v>
          </cell>
        </row>
        <row r="5423">
          <cell r="B5423">
            <v>2025005970003</v>
          </cell>
          <cell r="BP5423">
            <v>100</v>
          </cell>
        </row>
        <row r="5424">
          <cell r="B5424">
            <v>2025005970005</v>
          </cell>
          <cell r="BP5424">
            <v>88.4</v>
          </cell>
        </row>
        <row r="5425">
          <cell r="B5425">
            <v>2025005970008</v>
          </cell>
          <cell r="BP5425">
            <v>100</v>
          </cell>
        </row>
        <row r="5426">
          <cell r="B5426">
            <v>2025005970011</v>
          </cell>
          <cell r="BP5426">
            <v>100</v>
          </cell>
        </row>
        <row r="5427">
          <cell r="B5427">
            <v>2025005970007</v>
          </cell>
          <cell r="BP5427">
            <v>100</v>
          </cell>
        </row>
        <row r="5428">
          <cell r="B5428">
            <v>2024005970024</v>
          </cell>
          <cell r="BP5428">
            <v>100</v>
          </cell>
        </row>
        <row r="5429">
          <cell r="B5429">
            <v>2024005970195</v>
          </cell>
          <cell r="BP5429">
            <v>100</v>
          </cell>
        </row>
        <row r="5430">
          <cell r="B5430">
            <v>2025005970002</v>
          </cell>
          <cell r="BP5430">
            <v>79.2</v>
          </cell>
        </row>
        <row r="5431">
          <cell r="B5431">
            <v>2021005970050</v>
          </cell>
          <cell r="BP5431">
            <v>50</v>
          </cell>
        </row>
        <row r="5432">
          <cell r="B5432">
            <v>2024005970134</v>
          </cell>
          <cell r="BP5432">
            <v>100</v>
          </cell>
        </row>
        <row r="5433">
          <cell r="B5433">
            <v>2022000070020</v>
          </cell>
          <cell r="BP5433">
            <v>100</v>
          </cell>
        </row>
        <row r="5434">
          <cell r="B5434">
            <v>2025005970009</v>
          </cell>
          <cell r="BP5434">
            <v>100</v>
          </cell>
        </row>
        <row r="5435">
          <cell r="B5435">
            <v>2019000100028</v>
          </cell>
          <cell r="BP5435">
            <v>81.2</v>
          </cell>
        </row>
        <row r="5436">
          <cell r="B5436">
            <v>2019000100013</v>
          </cell>
          <cell r="BP5436">
            <v>50.4</v>
          </cell>
        </row>
        <row r="5437">
          <cell r="B5437">
            <v>2021000100408</v>
          </cell>
          <cell r="BP5437">
            <v>100</v>
          </cell>
        </row>
        <row r="5438">
          <cell r="B5438">
            <v>2020000100595</v>
          </cell>
          <cell r="BP5438">
            <v>100</v>
          </cell>
        </row>
        <row r="5439">
          <cell r="B5439" t="str">
            <v>2023I00010042</v>
          </cell>
          <cell r="BP5439">
            <v>100</v>
          </cell>
        </row>
        <row r="5440">
          <cell r="B5440">
            <v>2025997730001</v>
          </cell>
          <cell r="BP5440">
            <v>100</v>
          </cell>
        </row>
        <row r="5441">
          <cell r="B5441">
            <v>2025997730003</v>
          </cell>
          <cell r="BP5441">
            <v>60</v>
          </cell>
        </row>
        <row r="5442">
          <cell r="B5442">
            <v>2014005990002</v>
          </cell>
          <cell r="BP5442">
            <v>0</v>
          </cell>
        </row>
        <row r="5443">
          <cell r="B5443">
            <v>20201301012277</v>
          </cell>
          <cell r="BP5443">
            <v>0</v>
          </cell>
        </row>
        <row r="5444">
          <cell r="B5444">
            <v>2021997730094</v>
          </cell>
          <cell r="BP5444">
            <v>9</v>
          </cell>
        </row>
        <row r="5445">
          <cell r="B5445">
            <v>2024997730001</v>
          </cell>
          <cell r="BP5445">
            <v>0</v>
          </cell>
        </row>
        <row r="5446">
          <cell r="B5446">
            <v>2024997730076</v>
          </cell>
          <cell r="BP5446">
            <v>8.9</v>
          </cell>
        </row>
        <row r="5447">
          <cell r="B5447">
            <v>2025997730002</v>
          </cell>
          <cell r="BP5447">
            <v>0</v>
          </cell>
        </row>
        <row r="5448">
          <cell r="B5448">
            <v>2023995240009</v>
          </cell>
          <cell r="BP5448">
            <v>100</v>
          </cell>
        </row>
        <row r="5449">
          <cell r="B5449">
            <v>2023995240013</v>
          </cell>
          <cell r="BP5449">
            <v>99.2</v>
          </cell>
        </row>
        <row r="5450">
          <cell r="B5450">
            <v>2025995240001</v>
          </cell>
          <cell r="BP5450">
            <v>100</v>
          </cell>
        </row>
        <row r="5451">
          <cell r="B5451">
            <v>2025990010003</v>
          </cell>
          <cell r="BP5451">
            <v>100</v>
          </cell>
        </row>
        <row r="5452">
          <cell r="B5452">
            <v>2022990010008</v>
          </cell>
          <cell r="BP5452">
            <v>58.7</v>
          </cell>
        </row>
        <row r="5453">
          <cell r="B5453" t="str">
            <v>2024I00010171</v>
          </cell>
          <cell r="BP5453">
            <v>100</v>
          </cell>
        </row>
        <row r="5454">
          <cell r="B5454" t="str">
            <v>2024I00010022</v>
          </cell>
          <cell r="BP5454">
            <v>100</v>
          </cell>
        </row>
        <row r="5455">
          <cell r="B5455">
            <v>2026996240001</v>
          </cell>
          <cell r="BP5455">
            <v>100</v>
          </cell>
        </row>
        <row r="5456">
          <cell r="B5456">
            <v>2025005990015</v>
          </cell>
          <cell r="BP5456">
            <v>60</v>
          </cell>
        </row>
        <row r="5457">
          <cell r="B5457">
            <v>2025005990020</v>
          </cell>
          <cell r="BP5457">
            <v>0</v>
          </cell>
        </row>
        <row r="5458">
          <cell r="B5458">
            <v>2025005990021</v>
          </cell>
          <cell r="BP5458">
            <v>6.5</v>
          </cell>
        </row>
        <row r="5459">
          <cell r="B5459">
            <v>2025005990025</v>
          </cell>
          <cell r="BP5459">
            <v>100</v>
          </cell>
        </row>
        <row r="5460">
          <cell r="B5460">
            <v>2025990010002</v>
          </cell>
          <cell r="BP5460">
            <v>73.2</v>
          </cell>
        </row>
        <row r="5461">
          <cell r="B5461">
            <v>2023000100010</v>
          </cell>
          <cell r="BP5461">
            <v>100</v>
          </cell>
        </row>
        <row r="5462">
          <cell r="B5462">
            <v>2024005990130</v>
          </cell>
          <cell r="BP5462">
            <v>75.2</v>
          </cell>
        </row>
        <row r="5463">
          <cell r="B5463">
            <v>2025005990010</v>
          </cell>
          <cell r="BP5463">
            <v>100</v>
          </cell>
        </row>
        <row r="5464">
          <cell r="B5464">
            <v>2025005990016</v>
          </cell>
          <cell r="BP5464">
            <v>90</v>
          </cell>
        </row>
        <row r="5465">
          <cell r="B5465">
            <v>2024000070024</v>
          </cell>
          <cell r="BP5465">
            <v>36.200000000000003</v>
          </cell>
        </row>
        <row r="5466">
          <cell r="B5466">
            <v>2024005990135</v>
          </cell>
          <cell r="BP5466">
            <v>100</v>
          </cell>
        </row>
        <row r="5467">
          <cell r="B5467">
            <v>2024005990136</v>
          </cell>
          <cell r="BP5467">
            <v>80</v>
          </cell>
        </row>
        <row r="5468">
          <cell r="B5468">
            <v>2025005990002</v>
          </cell>
          <cell r="BP5468">
            <v>100</v>
          </cell>
        </row>
        <row r="5469">
          <cell r="B5469">
            <v>2025005990006</v>
          </cell>
          <cell r="BP5469">
            <v>100</v>
          </cell>
        </row>
        <row r="5470">
          <cell r="B5470">
            <v>2025005990008</v>
          </cell>
          <cell r="BP5470">
            <v>100</v>
          </cell>
        </row>
        <row r="5471">
          <cell r="B5471">
            <v>2025005990009</v>
          </cell>
          <cell r="BP5471">
            <v>0</v>
          </cell>
        </row>
        <row r="5472">
          <cell r="B5472">
            <v>2025005990012</v>
          </cell>
          <cell r="BP5472">
            <v>100</v>
          </cell>
        </row>
        <row r="5473">
          <cell r="B5473">
            <v>2025005990014</v>
          </cell>
          <cell r="BP5473">
            <v>60</v>
          </cell>
        </row>
        <row r="5474">
          <cell r="B5474">
            <v>2025005990017</v>
          </cell>
          <cell r="BP5474">
            <v>30</v>
          </cell>
        </row>
        <row r="5475">
          <cell r="B5475">
            <v>2025005990018</v>
          </cell>
          <cell r="BP5475">
            <v>91.2</v>
          </cell>
        </row>
        <row r="5476">
          <cell r="B5476">
            <v>2025005990001</v>
          </cell>
          <cell r="BP5476">
            <v>50</v>
          </cell>
        </row>
        <row r="5477">
          <cell r="B5477">
            <v>2021000100447</v>
          </cell>
          <cell r="BP5477">
            <v>54</v>
          </cell>
        </row>
        <row r="5478">
          <cell r="B5478">
            <v>2022000100061</v>
          </cell>
          <cell r="BP5478">
            <v>100</v>
          </cell>
        </row>
        <row r="5479">
          <cell r="B5479">
            <v>2016000070015</v>
          </cell>
          <cell r="BP5479">
            <v>5.5</v>
          </cell>
        </row>
        <row r="5480">
          <cell r="B5480">
            <v>2017000070029</v>
          </cell>
          <cell r="BP5480">
            <v>5.5</v>
          </cell>
        </row>
        <row r="5481">
          <cell r="B5481">
            <v>2020000070027</v>
          </cell>
          <cell r="BP5481">
            <v>8.9</v>
          </cell>
        </row>
        <row r="5482">
          <cell r="B5482">
            <v>2020000070045</v>
          </cell>
          <cell r="BP5482">
            <v>46</v>
          </cell>
        </row>
        <row r="5483">
          <cell r="B5483">
            <v>2020000100617</v>
          </cell>
          <cell r="BP5483">
            <v>80.8</v>
          </cell>
        </row>
        <row r="5484">
          <cell r="B5484">
            <v>2021005990221</v>
          </cell>
          <cell r="BP5484">
            <v>0</v>
          </cell>
        </row>
        <row r="5485">
          <cell r="B5485">
            <v>2022005990101</v>
          </cell>
          <cell r="BP5485">
            <v>0</v>
          </cell>
        </row>
        <row r="5486">
          <cell r="B5486">
            <v>2022005990107</v>
          </cell>
          <cell r="BP5486">
            <v>0</v>
          </cell>
        </row>
        <row r="5487">
          <cell r="B5487">
            <v>2022005990117</v>
          </cell>
          <cell r="BP5487">
            <v>12.8</v>
          </cell>
        </row>
        <row r="5488">
          <cell r="B5488">
            <v>2023005990007</v>
          </cell>
          <cell r="BP5488">
            <v>100</v>
          </cell>
        </row>
        <row r="5489">
          <cell r="B5489">
            <v>2023005990015</v>
          </cell>
          <cell r="BP5489">
            <v>89</v>
          </cell>
        </row>
        <row r="5490">
          <cell r="B5490">
            <v>2023005990019</v>
          </cell>
          <cell r="BP5490">
            <v>50</v>
          </cell>
        </row>
        <row r="5491">
          <cell r="B5491">
            <v>2024005990126</v>
          </cell>
          <cell r="BP5491">
            <v>89</v>
          </cell>
        </row>
        <row r="5492">
          <cell r="B5492">
            <v>2024005990128</v>
          </cell>
          <cell r="BP5492">
            <v>89</v>
          </cell>
        </row>
        <row r="5493">
          <cell r="B5493">
            <v>2024005990129</v>
          </cell>
          <cell r="BP5493">
            <v>6</v>
          </cell>
        </row>
        <row r="5494">
          <cell r="B5494">
            <v>2025000070020</v>
          </cell>
          <cell r="BP5494">
            <v>35.6</v>
          </cell>
        </row>
        <row r="5495">
          <cell r="B5495">
            <v>2025000070021</v>
          </cell>
          <cell r="BP5495">
            <v>22.4</v>
          </cell>
        </row>
        <row r="5496">
          <cell r="B5496">
            <v>2025005990011</v>
          </cell>
          <cell r="BP5496">
            <v>89</v>
          </cell>
        </row>
        <row r="5497">
          <cell r="B5497">
            <v>2023005990098</v>
          </cell>
          <cell r="BP5497">
            <v>0</v>
          </cell>
        </row>
        <row r="5498">
          <cell r="B5498">
            <v>2025005990003</v>
          </cell>
          <cell r="BP5498">
            <v>100</v>
          </cell>
        </row>
        <row r="5499">
          <cell r="B5499">
            <v>2025005990004</v>
          </cell>
          <cell r="BP5499">
            <v>84</v>
          </cell>
        </row>
        <row r="5500">
          <cell r="B5500">
            <v>2021000070019</v>
          </cell>
          <cell r="BP5500">
            <v>100</v>
          </cell>
        </row>
        <row r="5501">
          <cell r="B5501">
            <v>2023005990016</v>
          </cell>
          <cell r="BP5501">
            <v>6.5</v>
          </cell>
        </row>
        <row r="5502">
          <cell r="B5502">
            <v>2024005990137</v>
          </cell>
          <cell r="BP5502">
            <v>96.8</v>
          </cell>
        </row>
        <row r="5503">
          <cell r="B5503">
            <v>2024005990117</v>
          </cell>
          <cell r="BP5503">
            <v>90</v>
          </cell>
        </row>
        <row r="5504">
          <cell r="B5504">
            <v>2017000100107</v>
          </cell>
          <cell r="BP5504">
            <v>90</v>
          </cell>
        </row>
        <row r="5505">
          <cell r="B5505">
            <v>2021000100025</v>
          </cell>
          <cell r="BP5505">
            <v>0</v>
          </cell>
        </row>
        <row r="5506">
          <cell r="B5506">
            <v>2021000100128</v>
          </cell>
          <cell r="BP5506">
            <v>100</v>
          </cell>
        </row>
        <row r="5507">
          <cell r="B5507">
            <v>2023000060021</v>
          </cell>
          <cell r="BP5507">
            <v>100</v>
          </cell>
        </row>
        <row r="5508">
          <cell r="B5508">
            <v>2023006910015</v>
          </cell>
          <cell r="BP5508">
            <v>98.7</v>
          </cell>
        </row>
        <row r="5509">
          <cell r="B5509">
            <v>2023006910048</v>
          </cell>
          <cell r="BP5509">
            <v>100</v>
          </cell>
        </row>
        <row r="5510">
          <cell r="B5510">
            <v>2021000060033</v>
          </cell>
          <cell r="BP5510">
            <v>100</v>
          </cell>
        </row>
        <row r="5511">
          <cell r="B5511">
            <v>2021006910101</v>
          </cell>
          <cell r="BP5511">
            <v>100</v>
          </cell>
        </row>
        <row r="5512">
          <cell r="B5512">
            <v>2021000060016</v>
          </cell>
          <cell r="BP5512">
            <v>0</v>
          </cell>
        </row>
        <row r="5513">
          <cell r="B5513">
            <v>2025910010001</v>
          </cell>
          <cell r="BP5513">
            <v>100</v>
          </cell>
        </row>
        <row r="5514">
          <cell r="B5514">
            <v>2024915400025</v>
          </cell>
          <cell r="BP5514">
            <v>100</v>
          </cell>
        </row>
        <row r="5515">
          <cell r="B5515">
            <v>2025915400001</v>
          </cell>
          <cell r="BP5515">
            <v>100</v>
          </cell>
        </row>
        <row r="5516">
          <cell r="B5516">
            <v>2023915400011</v>
          </cell>
          <cell r="BP5516">
            <v>100</v>
          </cell>
        </row>
        <row r="5517">
          <cell r="B5517">
            <v>2025050020001</v>
          </cell>
          <cell r="BP5517">
            <v>100</v>
          </cell>
        </row>
        <row r="5518">
          <cell r="B5518">
            <v>2025050020002</v>
          </cell>
          <cell r="BP5518">
            <v>90</v>
          </cell>
        </row>
        <row r="5519">
          <cell r="B5519">
            <v>2025050340001</v>
          </cell>
          <cell r="BP5519">
            <v>100</v>
          </cell>
        </row>
        <row r="5520">
          <cell r="B5520">
            <v>2025050360002</v>
          </cell>
          <cell r="BP5520">
            <v>100</v>
          </cell>
        </row>
        <row r="5521">
          <cell r="B5521">
            <v>2024050400040</v>
          </cell>
          <cell r="BP5521">
            <v>100</v>
          </cell>
        </row>
        <row r="5522">
          <cell r="B5522">
            <v>2024003050243</v>
          </cell>
          <cell r="BP5522">
            <v>100</v>
          </cell>
        </row>
        <row r="5523">
          <cell r="B5523">
            <v>2025003050015</v>
          </cell>
          <cell r="BP5523">
            <v>89</v>
          </cell>
        </row>
        <row r="5524">
          <cell r="B5524">
            <v>2025003050014</v>
          </cell>
          <cell r="BP5524">
            <v>90</v>
          </cell>
        </row>
        <row r="5525">
          <cell r="B5525">
            <v>2020000100084</v>
          </cell>
          <cell r="BP5525">
            <v>89</v>
          </cell>
        </row>
        <row r="5526">
          <cell r="B5526">
            <v>2020000100135</v>
          </cell>
          <cell r="BP5526">
            <v>100</v>
          </cell>
        </row>
        <row r="5527">
          <cell r="B5527">
            <v>2015003050012</v>
          </cell>
          <cell r="BP5527">
            <v>82.9</v>
          </cell>
        </row>
        <row r="5528">
          <cell r="B5528">
            <v>2020000100681</v>
          </cell>
          <cell r="BP5528">
            <v>100</v>
          </cell>
        </row>
        <row r="5529">
          <cell r="B5529">
            <v>2022003050028</v>
          </cell>
          <cell r="BP5529">
            <v>100</v>
          </cell>
        </row>
        <row r="5530">
          <cell r="B5530">
            <v>2023000040015</v>
          </cell>
          <cell r="BP5530">
            <v>89</v>
          </cell>
        </row>
        <row r="5531">
          <cell r="B5531">
            <v>2024003050239</v>
          </cell>
          <cell r="BP5531">
            <v>100</v>
          </cell>
        </row>
        <row r="5532">
          <cell r="B5532">
            <v>2024003050242</v>
          </cell>
          <cell r="BP5532">
            <v>100</v>
          </cell>
        </row>
        <row r="5533">
          <cell r="B5533">
            <v>2024054830016</v>
          </cell>
          <cell r="BP5533">
            <v>90</v>
          </cell>
        </row>
        <row r="5534">
          <cell r="B5534">
            <v>2020050550084</v>
          </cell>
          <cell r="BP5534">
            <v>90</v>
          </cell>
        </row>
        <row r="5535">
          <cell r="B5535">
            <v>2025003050008</v>
          </cell>
          <cell r="BP5535">
            <v>100</v>
          </cell>
        </row>
        <row r="5536">
          <cell r="B5536">
            <v>2018000040040</v>
          </cell>
          <cell r="BP5536">
            <v>100</v>
          </cell>
        </row>
        <row r="5537">
          <cell r="B5537">
            <v>2020000100301</v>
          </cell>
          <cell r="BP5537">
            <v>100</v>
          </cell>
        </row>
        <row r="5538">
          <cell r="B5538">
            <v>2023003050025</v>
          </cell>
          <cell r="BP5538">
            <v>100</v>
          </cell>
        </row>
        <row r="5539">
          <cell r="B5539">
            <v>2025050440005</v>
          </cell>
          <cell r="BP5539">
            <v>100</v>
          </cell>
        </row>
        <row r="5540">
          <cell r="B5540">
            <v>2025050450002</v>
          </cell>
          <cell r="BP5540">
            <v>100</v>
          </cell>
        </row>
        <row r="5541">
          <cell r="B5541">
            <v>2025050450005</v>
          </cell>
          <cell r="BP5541">
            <v>100</v>
          </cell>
        </row>
        <row r="5542">
          <cell r="B5542">
            <v>2025050550001</v>
          </cell>
          <cell r="BP5542">
            <v>100</v>
          </cell>
        </row>
        <row r="5543">
          <cell r="B5543">
            <v>2025050550004</v>
          </cell>
          <cell r="BP5543">
            <v>100</v>
          </cell>
        </row>
        <row r="5544">
          <cell r="B5544">
            <v>2025050550003</v>
          </cell>
          <cell r="BP5544">
            <v>100</v>
          </cell>
        </row>
        <row r="5545">
          <cell r="B5545">
            <v>2025050790001</v>
          </cell>
          <cell r="BP5545">
            <v>100</v>
          </cell>
        </row>
        <row r="5546">
          <cell r="B5546">
            <v>2025050910006</v>
          </cell>
          <cell r="BP5546">
            <v>100</v>
          </cell>
        </row>
        <row r="5547">
          <cell r="B5547">
            <v>2025051070003</v>
          </cell>
          <cell r="BP5547">
            <v>100</v>
          </cell>
        </row>
        <row r="5548">
          <cell r="B5548">
            <v>2023051130021</v>
          </cell>
          <cell r="BP5548">
            <v>100</v>
          </cell>
        </row>
        <row r="5549">
          <cell r="B5549">
            <v>2025051200004</v>
          </cell>
          <cell r="BP5549">
            <v>89</v>
          </cell>
        </row>
        <row r="5550">
          <cell r="B5550">
            <v>2025051200002</v>
          </cell>
          <cell r="BP5550">
            <v>100</v>
          </cell>
        </row>
        <row r="5551">
          <cell r="B5551">
            <v>2024051250012</v>
          </cell>
          <cell r="BP5551">
            <v>100</v>
          </cell>
        </row>
        <row r="5552">
          <cell r="B5552">
            <v>2025051340001</v>
          </cell>
          <cell r="BP5552">
            <v>100</v>
          </cell>
        </row>
        <row r="5553">
          <cell r="B5553">
            <v>2025051380002</v>
          </cell>
          <cell r="BP5553">
            <v>89</v>
          </cell>
        </row>
        <row r="5554">
          <cell r="B5554">
            <v>2025051420002</v>
          </cell>
          <cell r="BP5554">
            <v>100</v>
          </cell>
        </row>
        <row r="5555">
          <cell r="B5555">
            <v>2025051420001</v>
          </cell>
          <cell r="BP5555">
            <v>100</v>
          </cell>
        </row>
        <row r="5556">
          <cell r="B5556">
            <v>2023051470053</v>
          </cell>
          <cell r="BP5556">
            <v>100</v>
          </cell>
        </row>
        <row r="5557">
          <cell r="B5557">
            <v>2025051470003</v>
          </cell>
          <cell r="BP5557">
            <v>100</v>
          </cell>
        </row>
        <row r="5558">
          <cell r="B5558">
            <v>2025051500003</v>
          </cell>
          <cell r="BP5558">
            <v>100</v>
          </cell>
        </row>
        <row r="5559">
          <cell r="B5559">
            <v>2025051540003</v>
          </cell>
          <cell r="BP5559">
            <v>100</v>
          </cell>
        </row>
        <row r="5560">
          <cell r="B5560">
            <v>2025051540010</v>
          </cell>
          <cell r="BP5560">
            <v>100</v>
          </cell>
        </row>
        <row r="5561">
          <cell r="B5561">
            <v>2025051540013</v>
          </cell>
          <cell r="BP5561">
            <v>90</v>
          </cell>
        </row>
        <row r="5562">
          <cell r="B5562">
            <v>2023051540008</v>
          </cell>
          <cell r="BP5562">
            <v>100</v>
          </cell>
        </row>
        <row r="5563">
          <cell r="B5563">
            <v>2024051540039</v>
          </cell>
          <cell r="BP5563">
            <v>100</v>
          </cell>
        </row>
        <row r="5564">
          <cell r="B5564" t="str">
            <v>2024N002890001</v>
          </cell>
          <cell r="BP5564">
            <v>100</v>
          </cell>
        </row>
        <row r="5565">
          <cell r="B5565">
            <v>2025051540001</v>
          </cell>
          <cell r="BP5565">
            <v>100</v>
          </cell>
        </row>
        <row r="5566">
          <cell r="B5566">
            <v>2023051720091</v>
          </cell>
          <cell r="BP5566">
            <v>100</v>
          </cell>
        </row>
        <row r="5567">
          <cell r="B5567">
            <v>2025051720005</v>
          </cell>
          <cell r="BP5567">
            <v>100</v>
          </cell>
        </row>
        <row r="5568">
          <cell r="B5568">
            <v>2025051900002</v>
          </cell>
          <cell r="BP5568">
            <v>100</v>
          </cell>
        </row>
        <row r="5569">
          <cell r="B5569">
            <v>2025051900004</v>
          </cell>
          <cell r="BP5569">
            <v>100</v>
          </cell>
        </row>
        <row r="5570">
          <cell r="B5570">
            <v>2025051970001</v>
          </cell>
          <cell r="BP5570">
            <v>100</v>
          </cell>
        </row>
        <row r="5571">
          <cell r="B5571">
            <v>2025051970002</v>
          </cell>
          <cell r="BP5571">
            <v>100</v>
          </cell>
        </row>
        <row r="5572">
          <cell r="B5572">
            <v>2025052340002</v>
          </cell>
          <cell r="BP5572">
            <v>100</v>
          </cell>
        </row>
        <row r="5573">
          <cell r="B5573">
            <v>2023052340029</v>
          </cell>
          <cell r="BP5573">
            <v>100</v>
          </cell>
        </row>
        <row r="5574">
          <cell r="B5574">
            <v>2025052400001</v>
          </cell>
          <cell r="BP5574">
            <v>100</v>
          </cell>
        </row>
        <row r="5575">
          <cell r="B5575">
            <v>2025052400003</v>
          </cell>
          <cell r="BP5575">
            <v>100</v>
          </cell>
        </row>
        <row r="5576">
          <cell r="B5576">
            <v>2024052500060</v>
          </cell>
          <cell r="BP5576">
            <v>100</v>
          </cell>
        </row>
        <row r="5577">
          <cell r="B5577">
            <v>2023052840001</v>
          </cell>
          <cell r="BP5577">
            <v>0</v>
          </cell>
        </row>
        <row r="5578">
          <cell r="B5578">
            <v>2025053060001</v>
          </cell>
          <cell r="BP5578">
            <v>100</v>
          </cell>
        </row>
        <row r="5579">
          <cell r="B5579">
            <v>2025053100002</v>
          </cell>
          <cell r="BP5579">
            <v>100</v>
          </cell>
        </row>
        <row r="5580">
          <cell r="B5580">
            <v>2025053130003</v>
          </cell>
          <cell r="BP5580">
            <v>100</v>
          </cell>
        </row>
        <row r="5581">
          <cell r="B5581">
            <v>2025053470002</v>
          </cell>
          <cell r="BP5581">
            <v>100</v>
          </cell>
        </row>
        <row r="5582">
          <cell r="B5582">
            <v>2025053470003</v>
          </cell>
          <cell r="BP5582">
            <v>90</v>
          </cell>
        </row>
        <row r="5583">
          <cell r="B5583">
            <v>2025053470004</v>
          </cell>
          <cell r="BP5583">
            <v>100</v>
          </cell>
        </row>
        <row r="5584">
          <cell r="B5584">
            <v>2025053530001</v>
          </cell>
          <cell r="BP5584">
            <v>90</v>
          </cell>
        </row>
        <row r="5585">
          <cell r="B5585">
            <v>2025053610004</v>
          </cell>
          <cell r="BP5585">
            <v>100</v>
          </cell>
        </row>
        <row r="5586">
          <cell r="B5586">
            <v>2024053680127</v>
          </cell>
          <cell r="BP5586">
            <v>89</v>
          </cell>
        </row>
        <row r="5587">
          <cell r="B5587">
            <v>2024054000004</v>
          </cell>
          <cell r="BP5587">
            <v>100</v>
          </cell>
        </row>
        <row r="5588">
          <cell r="B5588">
            <v>2025054000001</v>
          </cell>
          <cell r="BP5588">
            <v>100</v>
          </cell>
        </row>
        <row r="5589">
          <cell r="B5589">
            <v>2025054110001</v>
          </cell>
          <cell r="BP5589">
            <v>100</v>
          </cell>
        </row>
        <row r="5590">
          <cell r="B5590">
            <v>2024054670075</v>
          </cell>
          <cell r="BP5590">
            <v>100</v>
          </cell>
        </row>
        <row r="5591">
          <cell r="B5591">
            <v>2023054670012</v>
          </cell>
          <cell r="BP5591">
            <v>100</v>
          </cell>
        </row>
        <row r="5592">
          <cell r="B5592">
            <v>2023054670013</v>
          </cell>
          <cell r="BP5592">
            <v>100</v>
          </cell>
        </row>
        <row r="5593">
          <cell r="B5593">
            <v>2023054670014</v>
          </cell>
          <cell r="BP5593">
            <v>100</v>
          </cell>
        </row>
        <row r="5594">
          <cell r="B5594">
            <v>2023054750004</v>
          </cell>
          <cell r="BP5594">
            <v>90</v>
          </cell>
        </row>
        <row r="5595">
          <cell r="B5595">
            <v>2024054750086</v>
          </cell>
          <cell r="BP5595">
            <v>90</v>
          </cell>
        </row>
        <row r="5596">
          <cell r="B5596">
            <v>2025054800001</v>
          </cell>
          <cell r="BP5596">
            <v>100</v>
          </cell>
        </row>
        <row r="5597">
          <cell r="B5597">
            <v>2024054830001</v>
          </cell>
          <cell r="BP5597">
            <v>100</v>
          </cell>
        </row>
        <row r="5598">
          <cell r="B5598">
            <v>2018054900003</v>
          </cell>
          <cell r="BP5598">
            <v>100</v>
          </cell>
        </row>
        <row r="5599">
          <cell r="B5599">
            <v>2023054900022</v>
          </cell>
          <cell r="BP5599">
            <v>100</v>
          </cell>
        </row>
        <row r="5600">
          <cell r="B5600">
            <v>2024054900079</v>
          </cell>
          <cell r="BP5600">
            <v>100</v>
          </cell>
        </row>
        <row r="5601">
          <cell r="B5601">
            <v>2024054900095</v>
          </cell>
          <cell r="BP5601">
            <v>100</v>
          </cell>
        </row>
        <row r="5602">
          <cell r="B5602">
            <v>2025055010001</v>
          </cell>
          <cell r="BP5602">
            <v>100</v>
          </cell>
        </row>
        <row r="5603">
          <cell r="B5603">
            <v>2022055760029</v>
          </cell>
          <cell r="BP5603">
            <v>100</v>
          </cell>
        </row>
        <row r="5604">
          <cell r="B5604">
            <v>2023055790049</v>
          </cell>
          <cell r="BP5604">
            <v>100</v>
          </cell>
        </row>
        <row r="5605">
          <cell r="B5605">
            <v>2025055910001</v>
          </cell>
          <cell r="BP5605">
            <v>90</v>
          </cell>
        </row>
        <row r="5606">
          <cell r="B5606">
            <v>2023056040006</v>
          </cell>
          <cell r="BP5606">
            <v>0</v>
          </cell>
        </row>
        <row r="5607">
          <cell r="B5607">
            <v>2024056040087</v>
          </cell>
          <cell r="BP5607">
            <v>100</v>
          </cell>
        </row>
        <row r="5608">
          <cell r="B5608">
            <v>2025056040001</v>
          </cell>
          <cell r="BP5608">
            <v>100</v>
          </cell>
        </row>
        <row r="5609">
          <cell r="B5609">
            <v>2024056040039</v>
          </cell>
          <cell r="BP5609">
            <v>100</v>
          </cell>
        </row>
        <row r="5610">
          <cell r="B5610">
            <v>2025056280002</v>
          </cell>
          <cell r="BP5610">
            <v>100</v>
          </cell>
        </row>
        <row r="5611">
          <cell r="B5611">
            <v>2024056490115</v>
          </cell>
          <cell r="BP5611">
            <v>100</v>
          </cell>
        </row>
        <row r="5612">
          <cell r="B5612">
            <v>2025056490001</v>
          </cell>
          <cell r="BP5612">
            <v>90</v>
          </cell>
        </row>
        <row r="5613">
          <cell r="B5613">
            <v>2025056520002</v>
          </cell>
          <cell r="BP5613">
            <v>100</v>
          </cell>
        </row>
        <row r="5614">
          <cell r="B5614">
            <v>2023056560030</v>
          </cell>
          <cell r="BP5614">
            <v>90</v>
          </cell>
        </row>
        <row r="5615">
          <cell r="B5615">
            <v>2024056560006</v>
          </cell>
          <cell r="BP5615">
            <v>100</v>
          </cell>
        </row>
        <row r="5616">
          <cell r="B5616">
            <v>2024056590053</v>
          </cell>
          <cell r="BP5616">
            <v>89</v>
          </cell>
        </row>
        <row r="5617">
          <cell r="B5617">
            <v>20201301010426</v>
          </cell>
          <cell r="BP5617">
            <v>89</v>
          </cell>
        </row>
        <row r="5618">
          <cell r="B5618">
            <v>2023056670027</v>
          </cell>
          <cell r="BP5618">
            <v>100</v>
          </cell>
        </row>
        <row r="5619">
          <cell r="B5619">
            <v>2025056790002</v>
          </cell>
          <cell r="BP5619">
            <v>100</v>
          </cell>
        </row>
        <row r="5620">
          <cell r="B5620">
            <v>2025056860003</v>
          </cell>
          <cell r="BP5620">
            <v>100</v>
          </cell>
        </row>
        <row r="5621">
          <cell r="B5621">
            <v>2023056860002</v>
          </cell>
          <cell r="BP5621">
            <v>100</v>
          </cell>
        </row>
        <row r="5622">
          <cell r="B5622">
            <v>2021057360038</v>
          </cell>
          <cell r="BP5622">
            <v>100</v>
          </cell>
        </row>
        <row r="5623">
          <cell r="B5623">
            <v>2024057900055</v>
          </cell>
          <cell r="BP5623">
            <v>100</v>
          </cell>
        </row>
        <row r="5624">
          <cell r="B5624">
            <v>2025057900002</v>
          </cell>
          <cell r="BP5624">
            <v>100</v>
          </cell>
        </row>
        <row r="5625">
          <cell r="B5625">
            <v>2025058370001</v>
          </cell>
          <cell r="BP5625">
            <v>100</v>
          </cell>
        </row>
        <row r="5626">
          <cell r="B5626">
            <v>2024058560045</v>
          </cell>
          <cell r="BP5626">
            <v>56</v>
          </cell>
        </row>
        <row r="5627">
          <cell r="B5627">
            <v>2024058580028</v>
          </cell>
          <cell r="BP5627">
            <v>90</v>
          </cell>
        </row>
        <row r="5628">
          <cell r="B5628">
            <v>2024058580029</v>
          </cell>
          <cell r="BP5628">
            <v>90</v>
          </cell>
        </row>
        <row r="5629">
          <cell r="B5629">
            <v>2024058580030</v>
          </cell>
          <cell r="BP5629">
            <v>90</v>
          </cell>
        </row>
        <row r="5630">
          <cell r="B5630">
            <v>2025058580001</v>
          </cell>
          <cell r="BP5630">
            <v>100</v>
          </cell>
        </row>
        <row r="5631">
          <cell r="B5631">
            <v>2025058580003</v>
          </cell>
          <cell r="BP5631">
            <v>100</v>
          </cell>
        </row>
        <row r="5632">
          <cell r="B5632">
            <v>2024058580025</v>
          </cell>
          <cell r="BP5632">
            <v>100</v>
          </cell>
        </row>
        <row r="5633">
          <cell r="B5633">
            <v>2025058580004</v>
          </cell>
          <cell r="BP5633">
            <v>90</v>
          </cell>
        </row>
        <row r="5634">
          <cell r="B5634">
            <v>2024058930060</v>
          </cell>
          <cell r="BP5634">
            <v>100</v>
          </cell>
        </row>
        <row r="5635">
          <cell r="B5635">
            <v>2023058930005</v>
          </cell>
          <cell r="BP5635">
            <v>0</v>
          </cell>
        </row>
        <row r="5636">
          <cell r="B5636">
            <v>2025058930001</v>
          </cell>
          <cell r="BP5636">
            <v>89</v>
          </cell>
        </row>
        <row r="5637">
          <cell r="B5637">
            <v>2025058930014</v>
          </cell>
          <cell r="BP5637">
            <v>29.6</v>
          </cell>
        </row>
        <row r="5638">
          <cell r="B5638">
            <v>2024058930142</v>
          </cell>
          <cell r="BP5638">
            <v>100</v>
          </cell>
        </row>
        <row r="5639">
          <cell r="B5639">
            <v>2025058930004</v>
          </cell>
          <cell r="BP5639">
            <v>100</v>
          </cell>
        </row>
        <row r="5640">
          <cell r="B5640">
            <v>2025058950005</v>
          </cell>
          <cell r="BP5640">
            <v>100</v>
          </cell>
        </row>
        <row r="5641">
          <cell r="B5641">
            <v>2025810010009</v>
          </cell>
          <cell r="BP5641">
            <v>100</v>
          </cell>
        </row>
        <row r="5642">
          <cell r="B5642" t="str">
            <v>2024I00010130</v>
          </cell>
          <cell r="BP5642">
            <v>100</v>
          </cell>
        </row>
        <row r="5643">
          <cell r="B5643" t="str">
            <v>2024M000470003</v>
          </cell>
          <cell r="BP5643">
            <v>100</v>
          </cell>
        </row>
        <row r="5644">
          <cell r="B5644">
            <v>2020005810211</v>
          </cell>
          <cell r="BP5644">
            <v>100</v>
          </cell>
        </row>
        <row r="5645">
          <cell r="B5645">
            <v>2022005810064</v>
          </cell>
          <cell r="BP5645">
            <v>100</v>
          </cell>
        </row>
        <row r="5646">
          <cell r="B5646">
            <v>2023005810064</v>
          </cell>
          <cell r="BP5646">
            <v>100</v>
          </cell>
        </row>
        <row r="5647">
          <cell r="B5647">
            <v>2024005810072</v>
          </cell>
          <cell r="BP5647">
            <v>90</v>
          </cell>
        </row>
        <row r="5648">
          <cell r="B5648">
            <v>2024005810170</v>
          </cell>
          <cell r="BP5648">
            <v>90</v>
          </cell>
        </row>
        <row r="5649">
          <cell r="B5649">
            <v>2025005810011</v>
          </cell>
          <cell r="BP5649">
            <v>99.9</v>
          </cell>
        </row>
        <row r="5650">
          <cell r="B5650">
            <v>20201301010093</v>
          </cell>
          <cell r="BP5650">
            <v>100</v>
          </cell>
        </row>
        <row r="5651">
          <cell r="B5651">
            <v>2024810010023</v>
          </cell>
          <cell r="BP5651">
            <v>100</v>
          </cell>
        </row>
        <row r="5652">
          <cell r="B5652">
            <v>2025005810009</v>
          </cell>
          <cell r="BP5652">
            <v>100</v>
          </cell>
        </row>
        <row r="5653">
          <cell r="B5653">
            <v>2018000100117</v>
          </cell>
          <cell r="BP5653">
            <v>100</v>
          </cell>
        </row>
        <row r="5654">
          <cell r="B5654">
            <v>2019810010047</v>
          </cell>
          <cell r="BP5654">
            <v>100</v>
          </cell>
        </row>
        <row r="5655">
          <cell r="B5655">
            <v>2022810010007</v>
          </cell>
          <cell r="BP5655">
            <v>100</v>
          </cell>
        </row>
        <row r="5656">
          <cell r="B5656">
            <v>2022810010083</v>
          </cell>
          <cell r="BP5656">
            <v>90</v>
          </cell>
        </row>
        <row r="5657">
          <cell r="B5657">
            <v>2024810010044</v>
          </cell>
          <cell r="BP5657">
            <v>100</v>
          </cell>
        </row>
        <row r="5658">
          <cell r="B5658">
            <v>2024810010105</v>
          </cell>
          <cell r="BP5658">
            <v>100</v>
          </cell>
        </row>
        <row r="5659">
          <cell r="B5659">
            <v>2025810010004</v>
          </cell>
          <cell r="BP5659">
            <v>100</v>
          </cell>
        </row>
        <row r="5660">
          <cell r="B5660">
            <v>2025810010010</v>
          </cell>
          <cell r="BP5660">
            <v>96.8</v>
          </cell>
        </row>
        <row r="5661">
          <cell r="B5661">
            <v>2023005810027</v>
          </cell>
          <cell r="BP5661">
            <v>100</v>
          </cell>
        </row>
        <row r="5662">
          <cell r="B5662">
            <v>2022810650073</v>
          </cell>
          <cell r="BP5662">
            <v>89</v>
          </cell>
        </row>
        <row r="5663">
          <cell r="B5663">
            <v>2024810650103</v>
          </cell>
          <cell r="BP5663">
            <v>89</v>
          </cell>
        </row>
        <row r="5664">
          <cell r="B5664">
            <v>2022812200252</v>
          </cell>
          <cell r="BP5664">
            <v>100</v>
          </cell>
        </row>
        <row r="5665">
          <cell r="B5665">
            <v>20201301012011</v>
          </cell>
          <cell r="BP5665">
            <v>100</v>
          </cell>
        </row>
        <row r="5666">
          <cell r="B5666">
            <v>20231301010221</v>
          </cell>
          <cell r="BP5666">
            <v>100</v>
          </cell>
        </row>
        <row r="5667">
          <cell r="B5667">
            <v>2025813000001</v>
          </cell>
          <cell r="BP5667">
            <v>100</v>
          </cell>
        </row>
        <row r="5668">
          <cell r="B5668">
            <v>2025813000002</v>
          </cell>
          <cell r="BP5668">
            <v>100</v>
          </cell>
        </row>
        <row r="5669">
          <cell r="B5669">
            <v>2024815910112</v>
          </cell>
          <cell r="BP5669">
            <v>100</v>
          </cell>
        </row>
        <row r="5670">
          <cell r="B5670">
            <v>2024817360094</v>
          </cell>
          <cell r="BP5670">
            <v>100</v>
          </cell>
        </row>
        <row r="5671">
          <cell r="B5671">
            <v>2025817360002</v>
          </cell>
          <cell r="BP5671">
            <v>100</v>
          </cell>
        </row>
        <row r="5672">
          <cell r="B5672">
            <v>20201301010675</v>
          </cell>
          <cell r="BP5672">
            <v>100</v>
          </cell>
        </row>
        <row r="5673">
          <cell r="B5673">
            <v>2023002080017</v>
          </cell>
          <cell r="BP5673">
            <v>100</v>
          </cell>
        </row>
        <row r="5674">
          <cell r="B5674">
            <v>2021002080043</v>
          </cell>
          <cell r="BP5674">
            <v>90</v>
          </cell>
        </row>
        <row r="5675">
          <cell r="B5675">
            <v>2020000100058</v>
          </cell>
          <cell r="BP5675">
            <v>100</v>
          </cell>
        </row>
        <row r="5676">
          <cell r="B5676">
            <v>2020000100161</v>
          </cell>
          <cell r="BP5676">
            <v>100</v>
          </cell>
        </row>
        <row r="5677">
          <cell r="B5677">
            <v>2022000100074</v>
          </cell>
          <cell r="BP5677">
            <v>100</v>
          </cell>
        </row>
        <row r="5678">
          <cell r="B5678">
            <v>2025081370005</v>
          </cell>
          <cell r="BP5678">
            <v>100</v>
          </cell>
        </row>
        <row r="5679">
          <cell r="B5679">
            <v>2025083720002</v>
          </cell>
          <cell r="BP5679">
            <v>100</v>
          </cell>
        </row>
        <row r="5680">
          <cell r="B5680">
            <v>2024083720053</v>
          </cell>
          <cell r="BP5680">
            <v>100</v>
          </cell>
        </row>
        <row r="5681">
          <cell r="B5681">
            <v>2025083720001</v>
          </cell>
          <cell r="BP5681">
            <v>100</v>
          </cell>
        </row>
        <row r="5682">
          <cell r="B5682">
            <v>2025086060001</v>
          </cell>
          <cell r="BP5682">
            <v>100</v>
          </cell>
        </row>
        <row r="5683">
          <cell r="B5683">
            <v>2024086340024</v>
          </cell>
          <cell r="BP5683">
            <v>100</v>
          </cell>
        </row>
        <row r="5684">
          <cell r="B5684">
            <v>2025086340003</v>
          </cell>
          <cell r="BP5684">
            <v>100</v>
          </cell>
        </row>
        <row r="5685">
          <cell r="B5685">
            <v>2025086750003</v>
          </cell>
          <cell r="BP5685">
            <v>100</v>
          </cell>
        </row>
        <row r="5686">
          <cell r="B5686">
            <v>2024088490054</v>
          </cell>
          <cell r="BP5686">
            <v>100</v>
          </cell>
        </row>
        <row r="5687">
          <cell r="B5687">
            <v>2023011010004</v>
          </cell>
          <cell r="BP5687">
            <v>100</v>
          </cell>
        </row>
        <row r="5688">
          <cell r="B5688">
            <v>2021000100494</v>
          </cell>
          <cell r="BP5688">
            <v>89</v>
          </cell>
        </row>
        <row r="5689">
          <cell r="B5689">
            <v>2025130300005</v>
          </cell>
          <cell r="BP5689">
            <v>89</v>
          </cell>
        </row>
        <row r="5690">
          <cell r="B5690">
            <v>2025130300006</v>
          </cell>
          <cell r="BP5690">
            <v>100</v>
          </cell>
        </row>
        <row r="5691">
          <cell r="B5691">
            <v>2025130300002</v>
          </cell>
          <cell r="BP5691">
            <v>100</v>
          </cell>
        </row>
        <row r="5692">
          <cell r="B5692">
            <v>2025130420002</v>
          </cell>
          <cell r="BP5692">
            <v>100</v>
          </cell>
        </row>
        <row r="5693">
          <cell r="B5693">
            <v>2019130420003</v>
          </cell>
          <cell r="BP5693">
            <v>100</v>
          </cell>
        </row>
        <row r="5694">
          <cell r="B5694">
            <v>2025130520001</v>
          </cell>
          <cell r="BP5694">
            <v>100</v>
          </cell>
        </row>
        <row r="5695">
          <cell r="B5695">
            <v>2025130520004</v>
          </cell>
          <cell r="BP5695">
            <v>100</v>
          </cell>
        </row>
        <row r="5696">
          <cell r="B5696">
            <v>2025130620001</v>
          </cell>
          <cell r="BP5696">
            <v>89</v>
          </cell>
        </row>
        <row r="5697">
          <cell r="B5697">
            <v>2025130740002</v>
          </cell>
          <cell r="BP5697">
            <v>100</v>
          </cell>
        </row>
        <row r="5698">
          <cell r="B5698">
            <v>2025130740001</v>
          </cell>
          <cell r="BP5698">
            <v>100</v>
          </cell>
        </row>
        <row r="5699">
          <cell r="B5699">
            <v>2021002130154</v>
          </cell>
          <cell r="BP5699">
            <v>90</v>
          </cell>
        </row>
        <row r="5700">
          <cell r="B5700">
            <v>2021002130247</v>
          </cell>
          <cell r="BP5700">
            <v>100</v>
          </cell>
        </row>
        <row r="5701">
          <cell r="B5701">
            <v>2022002130043</v>
          </cell>
          <cell r="BP5701">
            <v>100</v>
          </cell>
        </row>
        <row r="5702">
          <cell r="B5702">
            <v>2024002130084</v>
          </cell>
          <cell r="BP5702">
            <v>56</v>
          </cell>
        </row>
        <row r="5703">
          <cell r="B5703">
            <v>2022137800051</v>
          </cell>
          <cell r="BP5703">
            <v>94.7</v>
          </cell>
        </row>
        <row r="5704">
          <cell r="B5704">
            <v>2020000100366</v>
          </cell>
          <cell r="BP5704">
            <v>100</v>
          </cell>
        </row>
        <row r="5705">
          <cell r="B5705">
            <v>2025131400001</v>
          </cell>
          <cell r="BP5705">
            <v>100</v>
          </cell>
        </row>
        <row r="5706">
          <cell r="B5706">
            <v>2025131400002</v>
          </cell>
          <cell r="BP5706">
            <v>89</v>
          </cell>
        </row>
        <row r="5707">
          <cell r="B5707">
            <v>2023131600168</v>
          </cell>
          <cell r="BP5707">
            <v>100</v>
          </cell>
        </row>
        <row r="5708">
          <cell r="B5708">
            <v>2024131600096</v>
          </cell>
          <cell r="BP5708">
            <v>100</v>
          </cell>
        </row>
        <row r="5709">
          <cell r="B5709">
            <v>2024131600111</v>
          </cell>
          <cell r="BP5709">
            <v>100</v>
          </cell>
        </row>
        <row r="5710">
          <cell r="B5710">
            <v>2024131600113</v>
          </cell>
          <cell r="BP5710">
            <v>100</v>
          </cell>
        </row>
        <row r="5711">
          <cell r="B5711">
            <v>2025131600002</v>
          </cell>
          <cell r="BP5711">
            <v>100</v>
          </cell>
        </row>
        <row r="5712">
          <cell r="B5712">
            <v>2025131600006</v>
          </cell>
          <cell r="BP5712">
            <v>100</v>
          </cell>
        </row>
        <row r="5713">
          <cell r="B5713">
            <v>2025131600007</v>
          </cell>
          <cell r="BP5713">
            <v>100</v>
          </cell>
        </row>
        <row r="5714">
          <cell r="B5714">
            <v>2020130010299</v>
          </cell>
          <cell r="BP5714">
            <v>100</v>
          </cell>
        </row>
        <row r="5715">
          <cell r="B5715">
            <v>2021130010078</v>
          </cell>
          <cell r="BP5715">
            <v>100</v>
          </cell>
        </row>
        <row r="5716">
          <cell r="B5716" t="str">
            <v>2024N002180001</v>
          </cell>
          <cell r="BP5716">
            <v>89</v>
          </cell>
        </row>
        <row r="5717">
          <cell r="B5717" t="str">
            <v>2024N000300001</v>
          </cell>
          <cell r="BP5717">
            <v>100</v>
          </cell>
        </row>
        <row r="5718">
          <cell r="B5718">
            <v>2022130010017</v>
          </cell>
          <cell r="BP5718">
            <v>0</v>
          </cell>
        </row>
        <row r="5719">
          <cell r="B5719">
            <v>2024132220165</v>
          </cell>
          <cell r="BP5719">
            <v>100</v>
          </cell>
        </row>
        <row r="5720">
          <cell r="B5720">
            <v>2025132220001</v>
          </cell>
          <cell r="BP5720">
            <v>100</v>
          </cell>
        </row>
        <row r="5721">
          <cell r="B5721">
            <v>2025132220004</v>
          </cell>
          <cell r="BP5721">
            <v>100</v>
          </cell>
        </row>
        <row r="5722">
          <cell r="B5722">
            <v>2025132120005</v>
          </cell>
          <cell r="BP5722">
            <v>100</v>
          </cell>
        </row>
        <row r="5723">
          <cell r="B5723">
            <v>2025132120006</v>
          </cell>
          <cell r="BP5723">
            <v>100</v>
          </cell>
        </row>
        <row r="5724">
          <cell r="B5724">
            <v>2021132440043</v>
          </cell>
          <cell r="BP5724">
            <v>100</v>
          </cell>
        </row>
        <row r="5725">
          <cell r="B5725">
            <v>2024132440033</v>
          </cell>
          <cell r="BP5725">
            <v>100</v>
          </cell>
        </row>
        <row r="5726">
          <cell r="B5726">
            <v>2025132680004</v>
          </cell>
          <cell r="BP5726">
            <v>100</v>
          </cell>
        </row>
        <row r="5727">
          <cell r="B5727">
            <v>2024134300062</v>
          </cell>
          <cell r="BP5727">
            <v>100</v>
          </cell>
        </row>
        <row r="5728">
          <cell r="B5728">
            <v>2023134300043</v>
          </cell>
          <cell r="BP5728">
            <v>42</v>
          </cell>
        </row>
        <row r="5729">
          <cell r="B5729">
            <v>2024134300057</v>
          </cell>
          <cell r="BP5729">
            <v>56</v>
          </cell>
        </row>
        <row r="5730">
          <cell r="B5730">
            <v>2025134300005</v>
          </cell>
          <cell r="BP5730">
            <v>56</v>
          </cell>
        </row>
        <row r="5731">
          <cell r="B5731">
            <v>2025134330001</v>
          </cell>
          <cell r="BP5731">
            <v>100</v>
          </cell>
        </row>
        <row r="5732">
          <cell r="B5732">
            <v>2025134330006</v>
          </cell>
          <cell r="BP5732">
            <v>100</v>
          </cell>
        </row>
        <row r="5733">
          <cell r="B5733">
            <v>2025134330002</v>
          </cell>
          <cell r="BP5733">
            <v>100</v>
          </cell>
        </row>
        <row r="5734">
          <cell r="B5734">
            <v>2025134330003</v>
          </cell>
          <cell r="BP5734">
            <v>100</v>
          </cell>
        </row>
        <row r="5735">
          <cell r="B5735">
            <v>2025134330004</v>
          </cell>
          <cell r="BP5735">
            <v>100</v>
          </cell>
        </row>
        <row r="5736">
          <cell r="B5736">
            <v>2025134400001</v>
          </cell>
          <cell r="BP5736">
            <v>100</v>
          </cell>
        </row>
        <row r="5737">
          <cell r="B5737">
            <v>2025134400002</v>
          </cell>
          <cell r="BP5737">
            <v>100</v>
          </cell>
        </row>
        <row r="5738">
          <cell r="B5738">
            <v>2024134400031</v>
          </cell>
          <cell r="BP5738">
            <v>100</v>
          </cell>
        </row>
        <row r="5739">
          <cell r="B5739">
            <v>2025134680004</v>
          </cell>
          <cell r="BP5739">
            <v>100</v>
          </cell>
        </row>
        <row r="5740">
          <cell r="B5740">
            <v>2025134680003</v>
          </cell>
          <cell r="BP5740">
            <v>100</v>
          </cell>
        </row>
        <row r="5741">
          <cell r="B5741">
            <v>2025134680006</v>
          </cell>
          <cell r="BP5741">
            <v>100</v>
          </cell>
        </row>
        <row r="5742">
          <cell r="B5742">
            <v>2025134580010</v>
          </cell>
          <cell r="BP5742">
            <v>100</v>
          </cell>
        </row>
        <row r="5743">
          <cell r="B5743">
            <v>2025134580009</v>
          </cell>
          <cell r="BP5743">
            <v>100</v>
          </cell>
        </row>
        <row r="5744">
          <cell r="B5744">
            <v>2025134730002</v>
          </cell>
          <cell r="BP5744">
            <v>100</v>
          </cell>
        </row>
        <row r="5745">
          <cell r="B5745">
            <v>2025134900009</v>
          </cell>
          <cell r="BP5745">
            <v>89</v>
          </cell>
        </row>
        <row r="5746">
          <cell r="B5746">
            <v>2025135800008</v>
          </cell>
          <cell r="BP5746">
            <v>100</v>
          </cell>
        </row>
        <row r="5747">
          <cell r="B5747">
            <v>2025135800006</v>
          </cell>
          <cell r="BP5747">
            <v>100</v>
          </cell>
        </row>
        <row r="5748">
          <cell r="B5748">
            <v>2025136000001</v>
          </cell>
          <cell r="BP5748">
            <v>100</v>
          </cell>
        </row>
        <row r="5749">
          <cell r="B5749">
            <v>2024136200021</v>
          </cell>
          <cell r="BP5749">
            <v>90</v>
          </cell>
        </row>
        <row r="5750">
          <cell r="B5750">
            <v>2025136200002</v>
          </cell>
          <cell r="BP5750">
            <v>90</v>
          </cell>
        </row>
        <row r="5751">
          <cell r="B5751">
            <v>2025136200003</v>
          </cell>
          <cell r="BP5751">
            <v>90</v>
          </cell>
        </row>
        <row r="5752">
          <cell r="B5752">
            <v>2025136500004</v>
          </cell>
          <cell r="BP5752">
            <v>100</v>
          </cell>
        </row>
        <row r="5753">
          <cell r="B5753">
            <v>2025136500006</v>
          </cell>
          <cell r="BP5753">
            <v>100</v>
          </cell>
        </row>
        <row r="5754">
          <cell r="B5754">
            <v>2025136500007</v>
          </cell>
          <cell r="BP5754">
            <v>100</v>
          </cell>
        </row>
        <row r="5755">
          <cell r="B5755">
            <v>2024136540004</v>
          </cell>
          <cell r="BP5755">
            <v>100</v>
          </cell>
        </row>
        <row r="5756">
          <cell r="B5756">
            <v>2024136540006</v>
          </cell>
          <cell r="BP5756">
            <v>90</v>
          </cell>
        </row>
        <row r="5757">
          <cell r="B5757">
            <v>2024136570081</v>
          </cell>
          <cell r="BP5757">
            <v>89</v>
          </cell>
        </row>
        <row r="5758">
          <cell r="B5758">
            <v>2023136570082</v>
          </cell>
          <cell r="BP5758">
            <v>100</v>
          </cell>
        </row>
        <row r="5759">
          <cell r="B5759">
            <v>2025136700001</v>
          </cell>
          <cell r="BP5759">
            <v>84.8</v>
          </cell>
        </row>
        <row r="5760">
          <cell r="B5760">
            <v>2025136700002</v>
          </cell>
          <cell r="BP5760">
            <v>89</v>
          </cell>
        </row>
        <row r="5761">
          <cell r="B5761">
            <v>2024136700068</v>
          </cell>
          <cell r="BP5761">
            <v>100</v>
          </cell>
        </row>
        <row r="5762">
          <cell r="B5762">
            <v>2025136700004</v>
          </cell>
          <cell r="BP5762">
            <v>89</v>
          </cell>
        </row>
        <row r="5763">
          <cell r="B5763">
            <v>2024136830138</v>
          </cell>
          <cell r="BP5763">
            <v>89</v>
          </cell>
        </row>
        <row r="5764">
          <cell r="B5764">
            <v>2025136830001</v>
          </cell>
          <cell r="BP5764">
            <v>100</v>
          </cell>
        </row>
        <row r="5765">
          <cell r="B5765">
            <v>2024136880088</v>
          </cell>
          <cell r="BP5765">
            <v>100</v>
          </cell>
        </row>
        <row r="5766">
          <cell r="B5766">
            <v>2019137440003</v>
          </cell>
          <cell r="BP5766">
            <v>100</v>
          </cell>
        </row>
        <row r="5767">
          <cell r="B5767">
            <v>2025137440001</v>
          </cell>
          <cell r="BP5767">
            <v>100</v>
          </cell>
        </row>
        <row r="5768">
          <cell r="B5768">
            <v>2025137440003</v>
          </cell>
          <cell r="BP5768">
            <v>100</v>
          </cell>
        </row>
        <row r="5769">
          <cell r="B5769">
            <v>2024137600034</v>
          </cell>
          <cell r="BP5769">
            <v>100</v>
          </cell>
        </row>
        <row r="5770">
          <cell r="B5770">
            <v>2025137800005</v>
          </cell>
          <cell r="BP5770">
            <v>100</v>
          </cell>
        </row>
        <row r="5771">
          <cell r="B5771">
            <v>2023138360036</v>
          </cell>
          <cell r="BP5771">
            <v>100</v>
          </cell>
        </row>
        <row r="5772">
          <cell r="B5772">
            <v>2024138360020</v>
          </cell>
          <cell r="BP5772">
            <v>74</v>
          </cell>
        </row>
        <row r="5773">
          <cell r="B5773">
            <v>2024138360026</v>
          </cell>
          <cell r="BP5773">
            <v>100</v>
          </cell>
        </row>
        <row r="5774">
          <cell r="B5774">
            <v>2025138380003</v>
          </cell>
          <cell r="BP5774">
            <v>100</v>
          </cell>
        </row>
        <row r="5775">
          <cell r="B5775">
            <v>2025138730002</v>
          </cell>
          <cell r="BP5775">
            <v>100</v>
          </cell>
        </row>
        <row r="5776">
          <cell r="B5776">
            <v>2025138730003</v>
          </cell>
          <cell r="BP5776">
            <v>100</v>
          </cell>
        </row>
        <row r="5777">
          <cell r="B5777">
            <v>2025138730004</v>
          </cell>
          <cell r="BP5777">
            <v>100</v>
          </cell>
        </row>
        <row r="5778">
          <cell r="B5778">
            <v>2025150220001</v>
          </cell>
          <cell r="BP5778">
            <v>100</v>
          </cell>
        </row>
        <row r="5779">
          <cell r="B5779">
            <v>2024150470024</v>
          </cell>
          <cell r="BP5779">
            <v>89</v>
          </cell>
        </row>
        <row r="5780">
          <cell r="B5780">
            <v>2025150510001</v>
          </cell>
          <cell r="BP5780">
            <v>100</v>
          </cell>
        </row>
        <row r="5781">
          <cell r="B5781">
            <v>2023150870027</v>
          </cell>
          <cell r="BP5781">
            <v>56</v>
          </cell>
        </row>
        <row r="5782">
          <cell r="B5782">
            <v>2024150970021</v>
          </cell>
          <cell r="BP5782">
            <v>100</v>
          </cell>
        </row>
        <row r="5783">
          <cell r="B5783">
            <v>2025150970001</v>
          </cell>
          <cell r="BP5783">
            <v>100</v>
          </cell>
        </row>
        <row r="5784">
          <cell r="B5784">
            <v>2025150970002</v>
          </cell>
          <cell r="BP5784">
            <v>100</v>
          </cell>
        </row>
        <row r="5785">
          <cell r="B5785">
            <v>2017000100110</v>
          </cell>
          <cell r="BP5785">
            <v>100</v>
          </cell>
        </row>
        <row r="5786">
          <cell r="B5786">
            <v>2018000050070</v>
          </cell>
          <cell r="BP5786">
            <v>75</v>
          </cell>
        </row>
        <row r="5787">
          <cell r="B5787">
            <v>2018000100033</v>
          </cell>
          <cell r="BP5787">
            <v>100</v>
          </cell>
        </row>
        <row r="5788">
          <cell r="B5788">
            <v>2021004150128</v>
          </cell>
          <cell r="BP5788">
            <v>100</v>
          </cell>
        </row>
        <row r="5789">
          <cell r="B5789">
            <v>2022004150318</v>
          </cell>
          <cell r="BP5789">
            <v>100</v>
          </cell>
        </row>
        <row r="5790">
          <cell r="B5790">
            <v>2024004150339</v>
          </cell>
          <cell r="BP5790">
            <v>100</v>
          </cell>
        </row>
        <row r="5791">
          <cell r="B5791">
            <v>2023004150266</v>
          </cell>
          <cell r="BP5791">
            <v>100</v>
          </cell>
        </row>
        <row r="5792">
          <cell r="B5792">
            <v>2024000100003</v>
          </cell>
          <cell r="BP5792">
            <v>100</v>
          </cell>
        </row>
        <row r="5793">
          <cell r="B5793">
            <v>2021004150260</v>
          </cell>
          <cell r="BP5793">
            <v>97.5</v>
          </cell>
        </row>
        <row r="5794">
          <cell r="B5794">
            <v>2022004150162</v>
          </cell>
          <cell r="BP5794">
            <v>73</v>
          </cell>
        </row>
        <row r="5795">
          <cell r="B5795">
            <v>2023004150039</v>
          </cell>
          <cell r="BP5795">
            <v>100</v>
          </cell>
        </row>
        <row r="5796">
          <cell r="B5796">
            <v>2023004150202</v>
          </cell>
          <cell r="BP5796">
            <v>86.2</v>
          </cell>
        </row>
        <row r="5797">
          <cell r="B5797">
            <v>2019004150232</v>
          </cell>
          <cell r="BP5797">
            <v>100</v>
          </cell>
        </row>
        <row r="5798">
          <cell r="B5798">
            <v>2023004150237</v>
          </cell>
          <cell r="BP5798">
            <v>100</v>
          </cell>
        </row>
        <row r="5799">
          <cell r="B5799">
            <v>2025151140001</v>
          </cell>
          <cell r="BP5799">
            <v>100</v>
          </cell>
        </row>
        <row r="5800">
          <cell r="B5800">
            <v>2025151310001</v>
          </cell>
          <cell r="BP5800">
            <v>97.1</v>
          </cell>
        </row>
        <row r="5801">
          <cell r="B5801">
            <v>2025151620002</v>
          </cell>
          <cell r="BP5801">
            <v>100</v>
          </cell>
        </row>
        <row r="5802">
          <cell r="B5802">
            <v>2024151800021</v>
          </cell>
          <cell r="BP5802">
            <v>100</v>
          </cell>
        </row>
        <row r="5803">
          <cell r="B5803">
            <v>2025151800001</v>
          </cell>
          <cell r="BP5803">
            <v>100</v>
          </cell>
        </row>
        <row r="5804">
          <cell r="B5804">
            <v>2025151830002</v>
          </cell>
          <cell r="BP5804">
            <v>100</v>
          </cell>
        </row>
        <row r="5805">
          <cell r="B5805">
            <v>2023151870021</v>
          </cell>
          <cell r="BP5805">
            <v>100</v>
          </cell>
        </row>
        <row r="5806">
          <cell r="B5806">
            <v>2025152360001</v>
          </cell>
          <cell r="BP5806">
            <v>100</v>
          </cell>
        </row>
        <row r="5807">
          <cell r="B5807">
            <v>2025152360002</v>
          </cell>
          <cell r="BP5807">
            <v>100</v>
          </cell>
        </row>
        <row r="5808">
          <cell r="B5808">
            <v>2025152120002</v>
          </cell>
          <cell r="BP5808">
            <v>100</v>
          </cell>
        </row>
        <row r="5809">
          <cell r="B5809">
            <v>2025152150002</v>
          </cell>
          <cell r="BP5809">
            <v>100</v>
          </cell>
        </row>
        <row r="5810">
          <cell r="B5810">
            <v>2025152150001</v>
          </cell>
          <cell r="BP5810">
            <v>100</v>
          </cell>
        </row>
        <row r="5811">
          <cell r="B5811">
            <v>2025152180001</v>
          </cell>
          <cell r="BP5811">
            <v>100</v>
          </cell>
        </row>
        <row r="5812">
          <cell r="B5812">
            <v>2025152480002</v>
          </cell>
          <cell r="BP5812">
            <v>100</v>
          </cell>
        </row>
        <row r="5813">
          <cell r="B5813">
            <v>2025152480004</v>
          </cell>
          <cell r="BP5813">
            <v>90</v>
          </cell>
        </row>
        <row r="5814">
          <cell r="B5814">
            <v>2025152480006</v>
          </cell>
          <cell r="BP5814">
            <v>90</v>
          </cell>
        </row>
        <row r="5815">
          <cell r="B5815">
            <v>2023152720002</v>
          </cell>
          <cell r="BP5815">
            <v>100</v>
          </cell>
        </row>
        <row r="5816">
          <cell r="B5816">
            <v>2025152960001</v>
          </cell>
          <cell r="BP5816">
            <v>100</v>
          </cell>
        </row>
        <row r="5817">
          <cell r="B5817">
            <v>2022152960007</v>
          </cell>
          <cell r="BP5817">
            <v>100</v>
          </cell>
        </row>
        <row r="5818">
          <cell r="B5818">
            <v>2024152960017</v>
          </cell>
          <cell r="BP5818">
            <v>100</v>
          </cell>
        </row>
        <row r="5819">
          <cell r="B5819">
            <v>2025153170005</v>
          </cell>
          <cell r="BP5819">
            <v>100</v>
          </cell>
        </row>
        <row r="5820">
          <cell r="B5820">
            <v>2024153220040</v>
          </cell>
          <cell r="BP5820">
            <v>100</v>
          </cell>
        </row>
        <row r="5821">
          <cell r="B5821">
            <v>2024153220041</v>
          </cell>
          <cell r="BP5821">
            <v>100</v>
          </cell>
        </row>
        <row r="5822">
          <cell r="B5822">
            <v>2025153320001</v>
          </cell>
          <cell r="BP5822">
            <v>100</v>
          </cell>
        </row>
        <row r="5823">
          <cell r="B5823">
            <v>2024153670029</v>
          </cell>
          <cell r="BP5823">
            <v>100</v>
          </cell>
        </row>
        <row r="5824">
          <cell r="B5824">
            <v>2025153800001</v>
          </cell>
          <cell r="BP5824">
            <v>100</v>
          </cell>
        </row>
        <row r="5825">
          <cell r="B5825">
            <v>2025154030001</v>
          </cell>
          <cell r="BP5825">
            <v>100</v>
          </cell>
        </row>
        <row r="5826">
          <cell r="B5826">
            <v>2025154420001</v>
          </cell>
          <cell r="BP5826">
            <v>100</v>
          </cell>
        </row>
        <row r="5827">
          <cell r="B5827">
            <v>2025154420002</v>
          </cell>
          <cell r="BP5827">
            <v>90</v>
          </cell>
        </row>
        <row r="5828">
          <cell r="B5828">
            <v>2025154550001</v>
          </cell>
          <cell r="BP5828">
            <v>100</v>
          </cell>
        </row>
        <row r="5829">
          <cell r="B5829">
            <v>2025154760002</v>
          </cell>
          <cell r="BP5829">
            <v>100</v>
          </cell>
        </row>
        <row r="5830">
          <cell r="B5830">
            <v>2024154760002</v>
          </cell>
          <cell r="BP5830">
            <v>100</v>
          </cell>
        </row>
        <row r="5831">
          <cell r="B5831">
            <v>2025154910001</v>
          </cell>
          <cell r="BP5831">
            <v>90</v>
          </cell>
        </row>
        <row r="5832">
          <cell r="B5832">
            <v>2022155160007</v>
          </cell>
          <cell r="BP5832">
            <v>100</v>
          </cell>
        </row>
        <row r="5833">
          <cell r="B5833">
            <v>2023155160061</v>
          </cell>
          <cell r="BP5833">
            <v>97.8</v>
          </cell>
        </row>
        <row r="5834">
          <cell r="B5834">
            <v>2024155310049</v>
          </cell>
          <cell r="BP5834">
            <v>100</v>
          </cell>
        </row>
        <row r="5835">
          <cell r="B5835">
            <v>2025155330001</v>
          </cell>
          <cell r="BP5835">
            <v>100</v>
          </cell>
        </row>
        <row r="5836">
          <cell r="B5836">
            <v>2025155370003</v>
          </cell>
          <cell r="BP5836">
            <v>100</v>
          </cell>
        </row>
        <row r="5837">
          <cell r="B5837">
            <v>2025155420001</v>
          </cell>
          <cell r="BP5837">
            <v>100</v>
          </cell>
        </row>
        <row r="5838">
          <cell r="B5838">
            <v>2025155800001</v>
          </cell>
          <cell r="BP5838">
            <v>100</v>
          </cell>
        </row>
        <row r="5839">
          <cell r="B5839">
            <v>2024156000038</v>
          </cell>
          <cell r="BP5839">
            <v>89</v>
          </cell>
        </row>
        <row r="5840">
          <cell r="B5840">
            <v>2025156000002</v>
          </cell>
          <cell r="BP5840">
            <v>100</v>
          </cell>
        </row>
        <row r="5841">
          <cell r="B5841">
            <v>2025156210004</v>
          </cell>
          <cell r="BP5841">
            <v>89</v>
          </cell>
        </row>
        <row r="5842">
          <cell r="B5842">
            <v>2022156460007</v>
          </cell>
          <cell r="BP5842">
            <v>100</v>
          </cell>
        </row>
        <row r="5843">
          <cell r="B5843">
            <v>2025156640001</v>
          </cell>
          <cell r="BP5843">
            <v>100</v>
          </cell>
        </row>
        <row r="5844">
          <cell r="B5844">
            <v>2022156640021</v>
          </cell>
          <cell r="BP5844">
            <v>100</v>
          </cell>
        </row>
        <row r="5845">
          <cell r="B5845">
            <v>2025156670001</v>
          </cell>
          <cell r="BP5845">
            <v>100</v>
          </cell>
        </row>
        <row r="5846">
          <cell r="B5846">
            <v>2025156670004</v>
          </cell>
          <cell r="BP5846">
            <v>100</v>
          </cell>
        </row>
        <row r="5847">
          <cell r="B5847">
            <v>2025156810001</v>
          </cell>
          <cell r="BP5847">
            <v>0</v>
          </cell>
        </row>
        <row r="5848">
          <cell r="B5848">
            <v>2024157200014</v>
          </cell>
          <cell r="BP5848">
            <v>100</v>
          </cell>
        </row>
        <row r="5849">
          <cell r="B5849">
            <v>2025157530001</v>
          </cell>
          <cell r="BP5849">
            <v>100</v>
          </cell>
        </row>
        <row r="5850">
          <cell r="B5850">
            <v>2025157570004</v>
          </cell>
          <cell r="BP5850">
            <v>89</v>
          </cell>
        </row>
        <row r="5851">
          <cell r="B5851">
            <v>2025157570001</v>
          </cell>
          <cell r="BP5851">
            <v>100</v>
          </cell>
        </row>
        <row r="5852">
          <cell r="B5852">
            <v>2025157570002</v>
          </cell>
          <cell r="BP5852">
            <v>90</v>
          </cell>
        </row>
        <row r="5853">
          <cell r="B5853">
            <v>2025157570003</v>
          </cell>
          <cell r="BP5853">
            <v>89</v>
          </cell>
        </row>
        <row r="5854">
          <cell r="B5854">
            <v>2023157550003</v>
          </cell>
          <cell r="BP5854">
            <v>10</v>
          </cell>
        </row>
        <row r="5855">
          <cell r="B5855">
            <v>2023157610012</v>
          </cell>
          <cell r="BP5855">
            <v>100</v>
          </cell>
        </row>
        <row r="5856">
          <cell r="B5856">
            <v>2025157610001</v>
          </cell>
          <cell r="BP5856">
            <v>100</v>
          </cell>
        </row>
        <row r="5857">
          <cell r="B5857">
            <v>2025157740003</v>
          </cell>
          <cell r="BP5857">
            <v>100</v>
          </cell>
        </row>
        <row r="5858">
          <cell r="B5858">
            <v>2024157760002</v>
          </cell>
          <cell r="BP5858">
            <v>90</v>
          </cell>
        </row>
        <row r="5859">
          <cell r="B5859">
            <v>2024157780022</v>
          </cell>
          <cell r="BP5859">
            <v>100</v>
          </cell>
        </row>
        <row r="5860">
          <cell r="B5860">
            <v>2025157900002</v>
          </cell>
          <cell r="BP5860">
            <v>100</v>
          </cell>
        </row>
        <row r="5861">
          <cell r="B5861">
            <v>2025157900003</v>
          </cell>
          <cell r="BP5861">
            <v>100</v>
          </cell>
        </row>
        <row r="5862">
          <cell r="B5862">
            <v>2025157980002</v>
          </cell>
          <cell r="BP5862">
            <v>89</v>
          </cell>
        </row>
        <row r="5863">
          <cell r="B5863">
            <v>2025157980001</v>
          </cell>
          <cell r="BP5863">
            <v>100</v>
          </cell>
        </row>
        <row r="5864">
          <cell r="B5864">
            <v>2025158040003</v>
          </cell>
          <cell r="BP5864">
            <v>100</v>
          </cell>
        </row>
        <row r="5865">
          <cell r="B5865">
            <v>2025158080001</v>
          </cell>
          <cell r="BP5865">
            <v>90</v>
          </cell>
        </row>
        <row r="5866">
          <cell r="B5866">
            <v>2025158140002</v>
          </cell>
          <cell r="BP5866">
            <v>89</v>
          </cell>
        </row>
        <row r="5867">
          <cell r="B5867">
            <v>2024158160032</v>
          </cell>
          <cell r="BP5867">
            <v>100</v>
          </cell>
        </row>
        <row r="5868">
          <cell r="B5868">
            <v>2024158200011</v>
          </cell>
          <cell r="BP5868">
            <v>100</v>
          </cell>
        </row>
        <row r="5869">
          <cell r="B5869">
            <v>2025158200003</v>
          </cell>
          <cell r="BP5869">
            <v>100</v>
          </cell>
        </row>
        <row r="5870">
          <cell r="B5870">
            <v>2023158220033</v>
          </cell>
          <cell r="BP5870">
            <v>100</v>
          </cell>
        </row>
        <row r="5871">
          <cell r="B5871">
            <v>2025158610001</v>
          </cell>
          <cell r="BP5871">
            <v>100</v>
          </cell>
        </row>
        <row r="5872">
          <cell r="B5872">
            <v>2024158970040</v>
          </cell>
          <cell r="BP5872">
            <v>100</v>
          </cell>
        </row>
        <row r="5873">
          <cell r="B5873">
            <v>2023170130030</v>
          </cell>
          <cell r="BP5873">
            <v>100</v>
          </cell>
        </row>
        <row r="5874">
          <cell r="B5874">
            <v>2025170130001</v>
          </cell>
          <cell r="BP5874">
            <v>100</v>
          </cell>
        </row>
        <row r="5875">
          <cell r="B5875">
            <v>2025170130002</v>
          </cell>
          <cell r="BP5875">
            <v>100</v>
          </cell>
        </row>
        <row r="5876">
          <cell r="B5876">
            <v>2025170500002</v>
          </cell>
          <cell r="BP5876">
            <v>100</v>
          </cell>
        </row>
        <row r="5877">
          <cell r="B5877">
            <v>2018000100155</v>
          </cell>
          <cell r="BP5877">
            <v>100</v>
          </cell>
        </row>
        <row r="5878">
          <cell r="B5878">
            <v>2022003170009</v>
          </cell>
          <cell r="BP5878">
            <v>100</v>
          </cell>
        </row>
        <row r="5879">
          <cell r="B5879">
            <v>2022003170033</v>
          </cell>
          <cell r="BP5879">
            <v>100</v>
          </cell>
        </row>
        <row r="5880">
          <cell r="B5880">
            <v>2024003170015</v>
          </cell>
          <cell r="BP5880">
            <v>100</v>
          </cell>
        </row>
        <row r="5881">
          <cell r="B5881">
            <v>2022003170019</v>
          </cell>
          <cell r="BP5881">
            <v>100</v>
          </cell>
        </row>
        <row r="5882">
          <cell r="B5882">
            <v>2023003170035</v>
          </cell>
          <cell r="BP5882">
            <v>100</v>
          </cell>
        </row>
        <row r="5883">
          <cell r="B5883">
            <v>2024003170092</v>
          </cell>
          <cell r="BP5883">
            <v>100</v>
          </cell>
        </row>
        <row r="5884">
          <cell r="B5884">
            <v>2022000100098</v>
          </cell>
          <cell r="BP5884">
            <v>100</v>
          </cell>
        </row>
        <row r="5885">
          <cell r="B5885">
            <v>2021000100388</v>
          </cell>
          <cell r="BP5885">
            <v>100</v>
          </cell>
        </row>
        <row r="5886">
          <cell r="B5886">
            <v>2025171740002</v>
          </cell>
          <cell r="BP5886">
            <v>100</v>
          </cell>
        </row>
        <row r="5887">
          <cell r="B5887">
            <v>2025171740001</v>
          </cell>
          <cell r="BP5887">
            <v>100</v>
          </cell>
        </row>
        <row r="5888">
          <cell r="B5888">
            <v>2025172720003</v>
          </cell>
          <cell r="BP5888">
            <v>100</v>
          </cell>
        </row>
        <row r="5889">
          <cell r="B5889">
            <v>2025172720001</v>
          </cell>
          <cell r="BP5889">
            <v>100</v>
          </cell>
        </row>
        <row r="5890">
          <cell r="B5890">
            <v>2022173800101</v>
          </cell>
          <cell r="BP5890">
            <v>100</v>
          </cell>
        </row>
        <row r="5891">
          <cell r="B5891">
            <v>2023173800074</v>
          </cell>
          <cell r="BP5891">
            <v>100</v>
          </cell>
        </row>
        <row r="5892">
          <cell r="B5892">
            <v>2024173880049</v>
          </cell>
          <cell r="BP5892">
            <v>100</v>
          </cell>
        </row>
        <row r="5893">
          <cell r="B5893">
            <v>2025174420001</v>
          </cell>
          <cell r="BP5893">
            <v>100</v>
          </cell>
        </row>
        <row r="5894">
          <cell r="B5894">
            <v>2025174440001</v>
          </cell>
          <cell r="BP5894">
            <v>100</v>
          </cell>
        </row>
        <row r="5895">
          <cell r="B5895">
            <v>2025174440002</v>
          </cell>
          <cell r="BP5895">
            <v>100</v>
          </cell>
        </row>
        <row r="5896">
          <cell r="B5896">
            <v>2025174440003</v>
          </cell>
          <cell r="BP5896">
            <v>100</v>
          </cell>
        </row>
        <row r="5897">
          <cell r="B5897">
            <v>2024174460020</v>
          </cell>
          <cell r="BP5897">
            <v>100</v>
          </cell>
        </row>
        <row r="5898">
          <cell r="B5898">
            <v>2025174460001</v>
          </cell>
          <cell r="BP5898">
            <v>100</v>
          </cell>
        </row>
        <row r="5899">
          <cell r="B5899">
            <v>2024174950038</v>
          </cell>
          <cell r="BP5899">
            <v>100</v>
          </cell>
        </row>
        <row r="5900">
          <cell r="B5900">
            <v>2024175130052</v>
          </cell>
          <cell r="BP5900">
            <v>100</v>
          </cell>
        </row>
        <row r="5901">
          <cell r="B5901">
            <v>2024175130051</v>
          </cell>
          <cell r="BP5901">
            <v>100</v>
          </cell>
        </row>
        <row r="5902">
          <cell r="B5902">
            <v>2025175240002</v>
          </cell>
          <cell r="BP5902">
            <v>100</v>
          </cell>
        </row>
        <row r="5903">
          <cell r="B5903">
            <v>2025175240003</v>
          </cell>
          <cell r="BP5903">
            <v>100</v>
          </cell>
        </row>
        <row r="5904">
          <cell r="B5904">
            <v>2025175240004</v>
          </cell>
          <cell r="BP5904">
            <v>100</v>
          </cell>
        </row>
        <row r="5905">
          <cell r="B5905">
            <v>2020175240006</v>
          </cell>
          <cell r="BP5905">
            <v>100</v>
          </cell>
        </row>
        <row r="5906">
          <cell r="B5906">
            <v>2024175240072</v>
          </cell>
          <cell r="BP5906">
            <v>100</v>
          </cell>
        </row>
        <row r="5907">
          <cell r="B5907">
            <v>2024175410044</v>
          </cell>
          <cell r="BP5907">
            <v>100</v>
          </cell>
        </row>
        <row r="5908">
          <cell r="B5908">
            <v>2025176140002</v>
          </cell>
          <cell r="BP5908">
            <v>100</v>
          </cell>
        </row>
        <row r="5909">
          <cell r="B5909">
            <v>2025176160001</v>
          </cell>
          <cell r="BP5909">
            <v>100</v>
          </cell>
        </row>
        <row r="5910">
          <cell r="B5910">
            <v>2025176530002</v>
          </cell>
          <cell r="BP5910">
            <v>100</v>
          </cell>
        </row>
        <row r="5911">
          <cell r="B5911">
            <v>2025176650001</v>
          </cell>
          <cell r="BP5911">
            <v>100</v>
          </cell>
        </row>
        <row r="5912">
          <cell r="B5912">
            <v>2019176650001</v>
          </cell>
          <cell r="BP5912">
            <v>100</v>
          </cell>
        </row>
        <row r="5913">
          <cell r="B5913">
            <v>2024178670044</v>
          </cell>
          <cell r="BP5913">
            <v>100</v>
          </cell>
        </row>
        <row r="5914">
          <cell r="B5914">
            <v>2025178670001</v>
          </cell>
          <cell r="BP5914">
            <v>100</v>
          </cell>
        </row>
        <row r="5915">
          <cell r="B5915">
            <v>2023178730019</v>
          </cell>
          <cell r="BP5915">
            <v>90</v>
          </cell>
        </row>
        <row r="5916">
          <cell r="B5916">
            <v>2024178730058</v>
          </cell>
          <cell r="BP5916">
            <v>100</v>
          </cell>
        </row>
        <row r="5917">
          <cell r="B5917" t="str">
            <v>2023I00010029</v>
          </cell>
          <cell r="BP5917">
            <v>89</v>
          </cell>
        </row>
        <row r="5918">
          <cell r="B5918">
            <v>2012000060019</v>
          </cell>
          <cell r="BP5918">
            <v>100</v>
          </cell>
        </row>
        <row r="5919">
          <cell r="B5919">
            <v>20241301010129</v>
          </cell>
          <cell r="BP5919">
            <v>100</v>
          </cell>
        </row>
        <row r="5920">
          <cell r="B5920">
            <v>2025006180038</v>
          </cell>
          <cell r="BP5920">
            <v>100</v>
          </cell>
        </row>
        <row r="5921">
          <cell r="B5921">
            <v>2023000060014</v>
          </cell>
          <cell r="BP5921">
            <v>89</v>
          </cell>
        </row>
        <row r="5922">
          <cell r="B5922">
            <v>2023006180145</v>
          </cell>
          <cell r="BP5922">
            <v>100</v>
          </cell>
        </row>
        <row r="5923">
          <cell r="B5923">
            <v>2022000060025</v>
          </cell>
          <cell r="BP5923">
            <v>100</v>
          </cell>
        </row>
        <row r="5924">
          <cell r="B5924">
            <v>2018000100119</v>
          </cell>
          <cell r="BP5924">
            <v>89</v>
          </cell>
        </row>
        <row r="5925">
          <cell r="B5925">
            <v>2018000100120</v>
          </cell>
          <cell r="BP5925">
            <v>100</v>
          </cell>
        </row>
        <row r="5926">
          <cell r="B5926">
            <v>2019000060030</v>
          </cell>
          <cell r="BP5926">
            <v>100</v>
          </cell>
        </row>
        <row r="5927">
          <cell r="B5927">
            <v>2023182470001</v>
          </cell>
          <cell r="BP5927">
            <v>100</v>
          </cell>
        </row>
        <row r="5928">
          <cell r="B5928">
            <v>2024184100016</v>
          </cell>
          <cell r="BP5928">
            <v>100</v>
          </cell>
        </row>
        <row r="5929">
          <cell r="B5929">
            <v>2021184600032</v>
          </cell>
          <cell r="BP5929">
            <v>100</v>
          </cell>
        </row>
        <row r="5930">
          <cell r="B5930">
            <v>2024184600048</v>
          </cell>
          <cell r="BP5930">
            <v>100</v>
          </cell>
        </row>
        <row r="5931">
          <cell r="B5931">
            <v>20211301010136</v>
          </cell>
          <cell r="BP5931">
            <v>100</v>
          </cell>
        </row>
        <row r="5932">
          <cell r="B5932">
            <v>2023184790017</v>
          </cell>
          <cell r="BP5932">
            <v>90</v>
          </cell>
        </row>
        <row r="5933">
          <cell r="B5933">
            <v>2023184790026</v>
          </cell>
          <cell r="BP5933">
            <v>60</v>
          </cell>
        </row>
        <row r="5934">
          <cell r="B5934">
            <v>2024184790050</v>
          </cell>
          <cell r="BP5934">
            <v>100</v>
          </cell>
        </row>
        <row r="5935">
          <cell r="B5935">
            <v>2022185920029</v>
          </cell>
          <cell r="BP5935">
            <v>100</v>
          </cell>
        </row>
        <row r="5936">
          <cell r="B5936">
            <v>2023185920034</v>
          </cell>
          <cell r="BP5936">
            <v>100</v>
          </cell>
        </row>
        <row r="5937">
          <cell r="B5937">
            <v>2025185920001</v>
          </cell>
          <cell r="BP5937">
            <v>100</v>
          </cell>
        </row>
        <row r="5938">
          <cell r="B5938">
            <v>2025186100004</v>
          </cell>
          <cell r="BP5938">
            <v>100</v>
          </cell>
        </row>
        <row r="5939">
          <cell r="B5939">
            <v>2024187530084</v>
          </cell>
          <cell r="BP5939">
            <v>89</v>
          </cell>
        </row>
        <row r="5940">
          <cell r="B5940">
            <v>2024187530095</v>
          </cell>
          <cell r="BP5940">
            <v>100</v>
          </cell>
        </row>
        <row r="5941">
          <cell r="B5941">
            <v>2025187530001</v>
          </cell>
          <cell r="BP5941">
            <v>100</v>
          </cell>
        </row>
        <row r="5942">
          <cell r="B5942">
            <v>2025187530003</v>
          </cell>
          <cell r="BP5942">
            <v>100</v>
          </cell>
        </row>
        <row r="5943">
          <cell r="B5943">
            <v>2025187530005</v>
          </cell>
          <cell r="BP5943">
            <v>100</v>
          </cell>
        </row>
        <row r="5944">
          <cell r="B5944">
            <v>2025187530006</v>
          </cell>
          <cell r="BP5944">
            <v>100</v>
          </cell>
        </row>
        <row r="5945">
          <cell r="B5945">
            <v>2025187530008</v>
          </cell>
          <cell r="BP5945">
            <v>100</v>
          </cell>
        </row>
        <row r="5946">
          <cell r="B5946">
            <v>2025187850001</v>
          </cell>
          <cell r="BP5946">
            <v>100</v>
          </cell>
        </row>
        <row r="5947">
          <cell r="B5947">
            <v>2025188600001</v>
          </cell>
          <cell r="BP5947">
            <v>100</v>
          </cell>
        </row>
        <row r="5948">
          <cell r="B5948">
            <v>2024188600054</v>
          </cell>
          <cell r="BP5948">
            <v>0</v>
          </cell>
        </row>
        <row r="5949">
          <cell r="B5949">
            <v>2024850100030</v>
          </cell>
          <cell r="BP5949">
            <v>100</v>
          </cell>
        </row>
        <row r="5950">
          <cell r="B5950">
            <v>2024850100051</v>
          </cell>
          <cell r="BP5950">
            <v>90</v>
          </cell>
        </row>
        <row r="5951">
          <cell r="B5951">
            <v>2021850100025</v>
          </cell>
          <cell r="BP5951">
            <v>100</v>
          </cell>
        </row>
        <row r="5952">
          <cell r="B5952">
            <v>2022850100017</v>
          </cell>
          <cell r="BP5952">
            <v>100</v>
          </cell>
        </row>
        <row r="5953">
          <cell r="B5953">
            <v>2023850100006</v>
          </cell>
          <cell r="BP5953">
            <v>100</v>
          </cell>
        </row>
        <row r="5954">
          <cell r="B5954" t="str">
            <v>2025N002290001</v>
          </cell>
          <cell r="BP5954">
            <v>100</v>
          </cell>
        </row>
        <row r="5955">
          <cell r="B5955" t="str">
            <v>2025N005520003</v>
          </cell>
          <cell r="BP5955">
            <v>0</v>
          </cell>
        </row>
        <row r="5956">
          <cell r="B5956">
            <v>2017005850047</v>
          </cell>
          <cell r="BP5956">
            <v>98.4</v>
          </cell>
        </row>
        <row r="5957">
          <cell r="B5957">
            <v>2022005850018</v>
          </cell>
          <cell r="BP5957">
            <v>100</v>
          </cell>
        </row>
        <row r="5958">
          <cell r="B5958">
            <v>2024005850008</v>
          </cell>
          <cell r="BP5958">
            <v>100</v>
          </cell>
        </row>
        <row r="5959">
          <cell r="B5959">
            <v>2024005850009</v>
          </cell>
          <cell r="BP5959">
            <v>100</v>
          </cell>
        </row>
        <row r="5960">
          <cell r="B5960">
            <v>2024005850138</v>
          </cell>
          <cell r="BP5960">
            <v>100</v>
          </cell>
        </row>
        <row r="5961">
          <cell r="B5961">
            <v>2024005850146</v>
          </cell>
          <cell r="BP5961">
            <v>100</v>
          </cell>
        </row>
        <row r="5962">
          <cell r="B5962">
            <v>2022005850027</v>
          </cell>
          <cell r="BP5962">
            <v>100</v>
          </cell>
        </row>
        <row r="5963">
          <cell r="B5963">
            <v>2023005850026</v>
          </cell>
          <cell r="BP5963">
            <v>100</v>
          </cell>
        </row>
        <row r="5964">
          <cell r="B5964">
            <v>2023005850047</v>
          </cell>
          <cell r="BP5964">
            <v>100</v>
          </cell>
        </row>
        <row r="5965">
          <cell r="B5965">
            <v>2024005850125</v>
          </cell>
          <cell r="BP5965">
            <v>100</v>
          </cell>
        </row>
        <row r="5966">
          <cell r="B5966">
            <v>2024005850126</v>
          </cell>
          <cell r="BP5966">
            <v>100</v>
          </cell>
        </row>
        <row r="5967">
          <cell r="B5967">
            <v>2024005850133</v>
          </cell>
          <cell r="BP5967">
            <v>100</v>
          </cell>
        </row>
        <row r="5968">
          <cell r="B5968">
            <v>2024005850142</v>
          </cell>
          <cell r="BP5968">
            <v>100</v>
          </cell>
        </row>
        <row r="5969">
          <cell r="B5969">
            <v>2019005850040</v>
          </cell>
          <cell r="BP5969">
            <v>100</v>
          </cell>
        </row>
        <row r="5970">
          <cell r="B5970">
            <v>2023005850033</v>
          </cell>
          <cell r="BP5970">
            <v>100</v>
          </cell>
        </row>
        <row r="5971">
          <cell r="B5971">
            <v>2024005850132</v>
          </cell>
          <cell r="BP5971">
            <v>100</v>
          </cell>
        </row>
        <row r="5972">
          <cell r="B5972">
            <v>2021005850092</v>
          </cell>
          <cell r="BP5972">
            <v>100</v>
          </cell>
        </row>
        <row r="5973">
          <cell r="B5973">
            <v>2022005850046</v>
          </cell>
          <cell r="BP5973">
            <v>75</v>
          </cell>
        </row>
        <row r="5974">
          <cell r="B5974">
            <v>2024005850141</v>
          </cell>
          <cell r="BP5974">
            <v>100</v>
          </cell>
        </row>
        <row r="5975">
          <cell r="B5975">
            <v>2021000070025</v>
          </cell>
          <cell r="BP5975">
            <v>0</v>
          </cell>
        </row>
        <row r="5976">
          <cell r="B5976">
            <v>2023005850012</v>
          </cell>
          <cell r="BP5976">
            <v>100</v>
          </cell>
        </row>
        <row r="5977">
          <cell r="B5977">
            <v>2023005850061</v>
          </cell>
          <cell r="BP5977">
            <v>100</v>
          </cell>
        </row>
        <row r="5978">
          <cell r="B5978">
            <v>2025851620003</v>
          </cell>
          <cell r="BP5978">
            <v>100</v>
          </cell>
        </row>
        <row r="5979">
          <cell r="B5979">
            <v>2025852300008</v>
          </cell>
          <cell r="BP5979">
            <v>100</v>
          </cell>
        </row>
        <row r="5980">
          <cell r="B5980">
            <v>2024852500061</v>
          </cell>
          <cell r="BP5980">
            <v>100</v>
          </cell>
        </row>
        <row r="5981">
          <cell r="B5981">
            <v>2025852500003</v>
          </cell>
          <cell r="BP5981">
            <v>100</v>
          </cell>
        </row>
        <row r="5982">
          <cell r="B5982">
            <v>2025852500005</v>
          </cell>
          <cell r="BP5982">
            <v>100</v>
          </cell>
        </row>
        <row r="5983">
          <cell r="B5983">
            <v>2024852500057</v>
          </cell>
          <cell r="BP5983">
            <v>100</v>
          </cell>
        </row>
        <row r="5984">
          <cell r="B5984">
            <v>2025852500004</v>
          </cell>
          <cell r="BP5984">
            <v>100</v>
          </cell>
        </row>
        <row r="5985">
          <cell r="B5985">
            <v>2025852500006</v>
          </cell>
          <cell r="BP5985">
            <v>90</v>
          </cell>
        </row>
        <row r="5986">
          <cell r="B5986">
            <v>2024852500060</v>
          </cell>
          <cell r="BP5986">
            <v>100</v>
          </cell>
        </row>
        <row r="5987">
          <cell r="B5987">
            <v>2025852500002</v>
          </cell>
          <cell r="BP5987">
            <v>100</v>
          </cell>
        </row>
        <row r="5988">
          <cell r="B5988">
            <v>2024852500054</v>
          </cell>
          <cell r="BP5988">
            <v>100</v>
          </cell>
        </row>
        <row r="5989">
          <cell r="B5989">
            <v>2025853250001</v>
          </cell>
          <cell r="BP5989">
            <v>100</v>
          </cell>
        </row>
        <row r="5990">
          <cell r="B5990">
            <v>2023854100012</v>
          </cell>
          <cell r="BP5990">
            <v>99.6</v>
          </cell>
        </row>
        <row r="5991">
          <cell r="B5991">
            <v>2025854100002</v>
          </cell>
          <cell r="BP5991">
            <v>100</v>
          </cell>
        </row>
        <row r="5992">
          <cell r="B5992">
            <v>2025854300002</v>
          </cell>
          <cell r="BP5992">
            <v>100</v>
          </cell>
        </row>
        <row r="5993">
          <cell r="B5993">
            <v>2021854300001</v>
          </cell>
          <cell r="BP5993">
            <v>100</v>
          </cell>
        </row>
        <row r="5994">
          <cell r="B5994">
            <v>2023854300004</v>
          </cell>
          <cell r="BP5994">
            <v>100</v>
          </cell>
        </row>
        <row r="5995">
          <cell r="B5995">
            <v>2023854400014</v>
          </cell>
          <cell r="BP5995">
            <v>100</v>
          </cell>
        </row>
        <row r="5996">
          <cell r="B5996">
            <v>2024854400060</v>
          </cell>
          <cell r="BP5996">
            <v>100</v>
          </cell>
        </row>
        <row r="5997">
          <cell r="B5997">
            <v>2025854400005</v>
          </cell>
          <cell r="BP5997">
            <v>89</v>
          </cell>
        </row>
        <row r="5998">
          <cell r="B5998">
            <v>2022854400013</v>
          </cell>
          <cell r="BP5998">
            <v>100</v>
          </cell>
        </row>
        <row r="5999">
          <cell r="B5999">
            <v>2023850010010</v>
          </cell>
          <cell r="BP5999">
            <v>100</v>
          </cell>
        </row>
        <row r="6000">
          <cell r="B6000" t="str">
            <v>2025N000130001</v>
          </cell>
          <cell r="BP6000">
            <v>100</v>
          </cell>
        </row>
        <row r="6001">
          <cell r="B6001" t="str">
            <v>2025N000440001</v>
          </cell>
          <cell r="BP6001">
            <v>100</v>
          </cell>
        </row>
        <row r="6002">
          <cell r="B6002" t="str">
            <v>2025N005680002</v>
          </cell>
          <cell r="BP6002">
            <v>100</v>
          </cell>
        </row>
        <row r="6003">
          <cell r="B6003">
            <v>2023850010008</v>
          </cell>
          <cell r="BP6003">
            <v>56</v>
          </cell>
        </row>
        <row r="6004">
          <cell r="B6004">
            <v>2023850010011</v>
          </cell>
          <cell r="BP6004">
            <v>56</v>
          </cell>
        </row>
        <row r="6005">
          <cell r="B6005">
            <v>2025850010006</v>
          </cell>
          <cell r="BP6005">
            <v>100</v>
          </cell>
        </row>
        <row r="6006">
          <cell r="B6006">
            <v>2025850010001</v>
          </cell>
          <cell r="BP6006">
            <v>89</v>
          </cell>
        </row>
        <row r="6007">
          <cell r="B6007" t="str">
            <v>2024N000130001</v>
          </cell>
          <cell r="BP6007">
            <v>100</v>
          </cell>
        </row>
        <row r="6008">
          <cell r="B6008" t="str">
            <v>2024N002290001</v>
          </cell>
          <cell r="BP6008">
            <v>100</v>
          </cell>
        </row>
        <row r="6009">
          <cell r="B6009">
            <v>2024190220035</v>
          </cell>
          <cell r="BP6009">
            <v>90</v>
          </cell>
        </row>
        <row r="6010">
          <cell r="B6010">
            <v>2024190500061</v>
          </cell>
          <cell r="BP6010">
            <v>90</v>
          </cell>
        </row>
        <row r="6011">
          <cell r="B6011">
            <v>2024190500033</v>
          </cell>
          <cell r="BP6011">
            <v>100</v>
          </cell>
        </row>
        <row r="6012">
          <cell r="B6012">
            <v>2024190500050</v>
          </cell>
          <cell r="BP6012">
            <v>100</v>
          </cell>
        </row>
        <row r="6013">
          <cell r="B6013">
            <v>2024191000034</v>
          </cell>
          <cell r="BP6013">
            <v>100</v>
          </cell>
        </row>
        <row r="6014">
          <cell r="B6014">
            <v>2021191000023</v>
          </cell>
          <cell r="BP6014">
            <v>100</v>
          </cell>
        </row>
        <row r="6015">
          <cell r="B6015">
            <v>2023191000001</v>
          </cell>
          <cell r="BP6015">
            <v>100</v>
          </cell>
        </row>
        <row r="6016">
          <cell r="B6016">
            <v>2024191300032</v>
          </cell>
          <cell r="BP6016">
            <v>100</v>
          </cell>
        </row>
        <row r="6017">
          <cell r="B6017">
            <v>2025191300001</v>
          </cell>
          <cell r="BP6017">
            <v>100</v>
          </cell>
        </row>
        <row r="6018">
          <cell r="B6018">
            <v>2025191370003</v>
          </cell>
          <cell r="BP6018">
            <v>100</v>
          </cell>
        </row>
        <row r="6019">
          <cell r="B6019">
            <v>2025191370002</v>
          </cell>
          <cell r="BP6019">
            <v>89</v>
          </cell>
        </row>
        <row r="6020">
          <cell r="B6020">
            <v>2020000100538</v>
          </cell>
          <cell r="BP6020">
            <v>80.099999999999994</v>
          </cell>
        </row>
        <row r="6021">
          <cell r="B6021">
            <v>2015000030068</v>
          </cell>
          <cell r="BP6021">
            <v>100</v>
          </cell>
        </row>
        <row r="6022">
          <cell r="B6022">
            <v>2017000030023</v>
          </cell>
          <cell r="BP6022">
            <v>0</v>
          </cell>
        </row>
        <row r="6023">
          <cell r="B6023">
            <v>2019000030036</v>
          </cell>
          <cell r="BP6023">
            <v>100</v>
          </cell>
        </row>
        <row r="6024">
          <cell r="B6024">
            <v>2023003190002</v>
          </cell>
          <cell r="BP6024">
            <v>100</v>
          </cell>
        </row>
        <row r="6025">
          <cell r="B6025">
            <v>2018000100171</v>
          </cell>
          <cell r="BP6025">
            <v>100</v>
          </cell>
        </row>
        <row r="6026">
          <cell r="B6026">
            <v>2021003190052</v>
          </cell>
          <cell r="BP6026">
            <v>100</v>
          </cell>
        </row>
        <row r="6027">
          <cell r="B6027">
            <v>2021000100371</v>
          </cell>
          <cell r="BP6027">
            <v>100</v>
          </cell>
        </row>
        <row r="6028">
          <cell r="B6028">
            <v>2023003190070</v>
          </cell>
          <cell r="BP6028">
            <v>100</v>
          </cell>
        </row>
        <row r="6029">
          <cell r="B6029">
            <v>2023003190109</v>
          </cell>
          <cell r="BP6029">
            <v>100</v>
          </cell>
        </row>
        <row r="6030">
          <cell r="B6030">
            <v>2012000100137</v>
          </cell>
          <cell r="BP6030">
            <v>100</v>
          </cell>
        </row>
        <row r="6031">
          <cell r="B6031">
            <v>2019000030014</v>
          </cell>
          <cell r="BP6031">
            <v>100</v>
          </cell>
        </row>
        <row r="6032">
          <cell r="B6032">
            <v>2024192120047</v>
          </cell>
          <cell r="BP6032">
            <v>100</v>
          </cell>
        </row>
        <row r="6033">
          <cell r="B6033">
            <v>2024192120046</v>
          </cell>
          <cell r="BP6033">
            <v>100</v>
          </cell>
        </row>
        <row r="6034">
          <cell r="B6034">
            <v>2023192560029</v>
          </cell>
          <cell r="BP6034">
            <v>75</v>
          </cell>
        </row>
        <row r="6035">
          <cell r="B6035">
            <v>2025192560002</v>
          </cell>
          <cell r="BP6035">
            <v>100</v>
          </cell>
        </row>
        <row r="6036">
          <cell r="B6036">
            <v>2021193000015</v>
          </cell>
          <cell r="BP6036">
            <v>100</v>
          </cell>
        </row>
        <row r="6037">
          <cell r="B6037">
            <v>2023193550013</v>
          </cell>
          <cell r="BP6037">
            <v>100</v>
          </cell>
        </row>
        <row r="6038">
          <cell r="B6038">
            <v>2022193970023</v>
          </cell>
          <cell r="BP6038">
            <v>100</v>
          </cell>
        </row>
        <row r="6039">
          <cell r="B6039">
            <v>2023193970020</v>
          </cell>
          <cell r="BP6039">
            <v>100</v>
          </cell>
        </row>
        <row r="6040">
          <cell r="B6040">
            <v>2023194180012</v>
          </cell>
          <cell r="BP6040">
            <v>100</v>
          </cell>
        </row>
        <row r="6041">
          <cell r="B6041">
            <v>2025194730001</v>
          </cell>
          <cell r="BP6041">
            <v>100</v>
          </cell>
        </row>
        <row r="6042">
          <cell r="B6042">
            <v>20231301010228</v>
          </cell>
          <cell r="BP6042">
            <v>100</v>
          </cell>
        </row>
        <row r="6043">
          <cell r="B6043">
            <v>2023195480037</v>
          </cell>
          <cell r="BP6043">
            <v>100</v>
          </cell>
        </row>
        <row r="6044">
          <cell r="B6044">
            <v>2025195480001</v>
          </cell>
          <cell r="BP6044">
            <v>100</v>
          </cell>
        </row>
        <row r="6045">
          <cell r="B6045">
            <v>2025195480002</v>
          </cell>
          <cell r="BP6045">
            <v>100</v>
          </cell>
        </row>
        <row r="6046">
          <cell r="B6046">
            <v>2025195850001</v>
          </cell>
          <cell r="BP6046">
            <v>89</v>
          </cell>
        </row>
        <row r="6047">
          <cell r="B6047">
            <v>2024195850013</v>
          </cell>
          <cell r="BP6047">
            <v>100</v>
          </cell>
        </row>
        <row r="6048">
          <cell r="B6048">
            <v>2025196930001</v>
          </cell>
          <cell r="BP6048">
            <v>89</v>
          </cell>
        </row>
        <row r="6049">
          <cell r="B6049">
            <v>2025196930003</v>
          </cell>
          <cell r="BP6049">
            <v>89</v>
          </cell>
        </row>
        <row r="6050">
          <cell r="B6050">
            <v>2025196930004</v>
          </cell>
          <cell r="BP6050">
            <v>89</v>
          </cell>
        </row>
        <row r="6051">
          <cell r="B6051">
            <v>2025196930002</v>
          </cell>
          <cell r="BP6051">
            <v>89</v>
          </cell>
        </row>
        <row r="6052">
          <cell r="B6052">
            <v>2023196930038</v>
          </cell>
          <cell r="BP6052">
            <v>100</v>
          </cell>
        </row>
        <row r="6053">
          <cell r="B6053">
            <v>2023197430039</v>
          </cell>
          <cell r="BP6053">
            <v>100</v>
          </cell>
        </row>
        <row r="6054">
          <cell r="B6054">
            <v>2025197800007</v>
          </cell>
          <cell r="BP6054">
            <v>100</v>
          </cell>
        </row>
        <row r="6055">
          <cell r="B6055">
            <v>2023198070027</v>
          </cell>
          <cell r="BP6055">
            <v>100</v>
          </cell>
        </row>
        <row r="6056">
          <cell r="B6056">
            <v>2023198090048</v>
          </cell>
          <cell r="BP6056">
            <v>100</v>
          </cell>
        </row>
        <row r="6057">
          <cell r="B6057">
            <v>2023198210090</v>
          </cell>
          <cell r="BP6057">
            <v>100</v>
          </cell>
        </row>
        <row r="6058">
          <cell r="B6058">
            <v>2023198210091</v>
          </cell>
          <cell r="BP6058">
            <v>100</v>
          </cell>
        </row>
        <row r="6059">
          <cell r="B6059">
            <v>20211301010269</v>
          </cell>
          <cell r="BP6059">
            <v>100</v>
          </cell>
        </row>
        <row r="6060">
          <cell r="B6060">
            <v>2025198210002</v>
          </cell>
          <cell r="BP6060">
            <v>100</v>
          </cell>
        </row>
        <row r="6061">
          <cell r="B6061">
            <v>2025200110002</v>
          </cell>
          <cell r="BP6061">
            <v>100</v>
          </cell>
        </row>
        <row r="6062">
          <cell r="B6062">
            <v>2025200110004</v>
          </cell>
          <cell r="BP6062">
            <v>100</v>
          </cell>
        </row>
        <row r="6063">
          <cell r="B6063">
            <v>2025200130010</v>
          </cell>
          <cell r="BP6063">
            <v>100</v>
          </cell>
        </row>
        <row r="6064">
          <cell r="B6064">
            <v>2025200130011</v>
          </cell>
          <cell r="BP6064">
            <v>100</v>
          </cell>
        </row>
        <row r="6065">
          <cell r="B6065">
            <v>2024200130072</v>
          </cell>
          <cell r="BP6065">
            <v>100</v>
          </cell>
        </row>
        <row r="6066">
          <cell r="B6066">
            <v>2025200130002</v>
          </cell>
          <cell r="BP6066">
            <v>89</v>
          </cell>
        </row>
        <row r="6067">
          <cell r="B6067">
            <v>2025200130003</v>
          </cell>
          <cell r="BP6067">
            <v>100</v>
          </cell>
        </row>
        <row r="6068">
          <cell r="B6068">
            <v>2025200130004</v>
          </cell>
          <cell r="BP6068">
            <v>100</v>
          </cell>
        </row>
        <row r="6069">
          <cell r="B6069">
            <v>2024200320096</v>
          </cell>
          <cell r="BP6069">
            <v>80.099999999999994</v>
          </cell>
        </row>
        <row r="6070">
          <cell r="B6070">
            <v>2024200320148</v>
          </cell>
          <cell r="BP6070">
            <v>100</v>
          </cell>
        </row>
        <row r="6071">
          <cell r="B6071">
            <v>2025200450011</v>
          </cell>
          <cell r="BP6071">
            <v>100</v>
          </cell>
        </row>
        <row r="6072">
          <cell r="B6072">
            <v>2025200450024</v>
          </cell>
          <cell r="BP6072">
            <v>100</v>
          </cell>
        </row>
        <row r="6073">
          <cell r="B6073">
            <v>2023200450037</v>
          </cell>
          <cell r="BP6073">
            <v>100</v>
          </cell>
        </row>
        <row r="6074">
          <cell r="B6074">
            <v>2023200450046</v>
          </cell>
          <cell r="BP6074">
            <v>100</v>
          </cell>
        </row>
        <row r="6075">
          <cell r="B6075">
            <v>2024200450023</v>
          </cell>
          <cell r="BP6075">
            <v>100</v>
          </cell>
        </row>
        <row r="6076">
          <cell r="B6076">
            <v>2024200450025</v>
          </cell>
          <cell r="BP6076">
            <v>100</v>
          </cell>
        </row>
        <row r="6077">
          <cell r="B6077">
            <v>2024200450042</v>
          </cell>
          <cell r="BP6077">
            <v>100</v>
          </cell>
        </row>
        <row r="6078">
          <cell r="B6078">
            <v>2024200450044</v>
          </cell>
          <cell r="BP6078">
            <v>100</v>
          </cell>
        </row>
        <row r="6079">
          <cell r="B6079">
            <v>2024200450046</v>
          </cell>
          <cell r="BP6079">
            <v>100</v>
          </cell>
        </row>
        <row r="6080">
          <cell r="B6080">
            <v>2021200450046</v>
          </cell>
          <cell r="BP6080">
            <v>100</v>
          </cell>
        </row>
        <row r="6081">
          <cell r="B6081">
            <v>2023200450019</v>
          </cell>
          <cell r="BP6081">
            <v>100</v>
          </cell>
        </row>
        <row r="6082">
          <cell r="B6082">
            <v>2023200450028</v>
          </cell>
          <cell r="BP6082">
            <v>87.7</v>
          </cell>
        </row>
        <row r="6083">
          <cell r="B6083">
            <v>2024200450002</v>
          </cell>
          <cell r="BP6083">
            <v>100</v>
          </cell>
        </row>
        <row r="6084">
          <cell r="B6084">
            <v>2025200450001</v>
          </cell>
          <cell r="BP6084">
            <v>100</v>
          </cell>
        </row>
        <row r="6085">
          <cell r="B6085">
            <v>2023200450084</v>
          </cell>
          <cell r="BP6085">
            <v>100</v>
          </cell>
        </row>
        <row r="6086">
          <cell r="B6086">
            <v>2024200600042</v>
          </cell>
          <cell r="BP6086">
            <v>100</v>
          </cell>
        </row>
        <row r="6087">
          <cell r="B6087">
            <v>2024200600044</v>
          </cell>
          <cell r="BP6087">
            <v>100</v>
          </cell>
        </row>
        <row r="6088">
          <cell r="B6088">
            <v>2021002200077</v>
          </cell>
          <cell r="BP6088">
            <v>100</v>
          </cell>
        </row>
        <row r="6089">
          <cell r="B6089">
            <v>2021002200079</v>
          </cell>
          <cell r="BP6089">
            <v>0</v>
          </cell>
        </row>
        <row r="6090">
          <cell r="B6090">
            <v>2022002200107</v>
          </cell>
          <cell r="BP6090">
            <v>100</v>
          </cell>
        </row>
        <row r="6091">
          <cell r="B6091" t="str">
            <v>2025N001970001</v>
          </cell>
          <cell r="BP6091">
            <v>100</v>
          </cell>
        </row>
        <row r="6092">
          <cell r="B6092">
            <v>2022002200135</v>
          </cell>
          <cell r="BP6092">
            <v>97.3</v>
          </cell>
        </row>
        <row r="6093">
          <cell r="B6093">
            <v>2023002200048</v>
          </cell>
          <cell r="BP6093">
            <v>90</v>
          </cell>
        </row>
        <row r="6094">
          <cell r="B6094">
            <v>2023002200052</v>
          </cell>
          <cell r="BP6094">
            <v>100</v>
          </cell>
        </row>
        <row r="6095">
          <cell r="B6095">
            <v>2023002200057</v>
          </cell>
          <cell r="BP6095">
            <v>99.9</v>
          </cell>
        </row>
        <row r="6096">
          <cell r="B6096">
            <v>2023002200101</v>
          </cell>
          <cell r="BP6096">
            <v>100</v>
          </cell>
        </row>
        <row r="6097">
          <cell r="B6097">
            <v>2024002200042</v>
          </cell>
          <cell r="BP6097">
            <v>100</v>
          </cell>
        </row>
        <row r="6098">
          <cell r="B6098">
            <v>2025002200003</v>
          </cell>
          <cell r="BP6098">
            <v>58.2</v>
          </cell>
        </row>
        <row r="6099">
          <cell r="B6099">
            <v>2025002200010</v>
          </cell>
          <cell r="BP6099">
            <v>100</v>
          </cell>
        </row>
        <row r="6100">
          <cell r="B6100">
            <v>2025002200015</v>
          </cell>
          <cell r="BP6100">
            <v>100</v>
          </cell>
        </row>
        <row r="6101">
          <cell r="B6101">
            <v>2021000100158</v>
          </cell>
          <cell r="BP6101">
            <v>100</v>
          </cell>
        </row>
        <row r="6102">
          <cell r="B6102">
            <v>2024002200120</v>
          </cell>
          <cell r="BP6102">
            <v>100</v>
          </cell>
        </row>
        <row r="6103">
          <cell r="B6103" t="str">
            <v>2024M000070004</v>
          </cell>
          <cell r="BP6103">
            <v>100</v>
          </cell>
        </row>
        <row r="6104">
          <cell r="B6104">
            <v>2020000100730</v>
          </cell>
          <cell r="BP6104">
            <v>100</v>
          </cell>
        </row>
        <row r="6105">
          <cell r="B6105">
            <v>2025201750003</v>
          </cell>
          <cell r="BP6105">
            <v>100</v>
          </cell>
        </row>
        <row r="6106">
          <cell r="B6106" t="str">
            <v>2024N001740013</v>
          </cell>
          <cell r="BP6106">
            <v>100</v>
          </cell>
        </row>
        <row r="6107">
          <cell r="B6107">
            <v>2025201780003</v>
          </cell>
          <cell r="BP6107">
            <v>100</v>
          </cell>
        </row>
        <row r="6108">
          <cell r="B6108">
            <v>2025201780006</v>
          </cell>
          <cell r="BP6108">
            <v>100</v>
          </cell>
        </row>
        <row r="6109">
          <cell r="B6109">
            <v>2024201780012</v>
          </cell>
          <cell r="BP6109">
            <v>0</v>
          </cell>
        </row>
        <row r="6110">
          <cell r="B6110">
            <v>20243219000001</v>
          </cell>
          <cell r="BP6110">
            <v>100</v>
          </cell>
        </row>
        <row r="6111">
          <cell r="B6111">
            <v>2024202280038</v>
          </cell>
          <cell r="BP6111">
            <v>100</v>
          </cell>
        </row>
        <row r="6112">
          <cell r="B6112">
            <v>2025202280001</v>
          </cell>
          <cell r="BP6112">
            <v>100</v>
          </cell>
        </row>
        <row r="6113">
          <cell r="B6113">
            <v>2025202380002</v>
          </cell>
          <cell r="BP6113">
            <v>100</v>
          </cell>
        </row>
        <row r="6114">
          <cell r="B6114">
            <v>2025202380004</v>
          </cell>
          <cell r="BP6114">
            <v>100</v>
          </cell>
        </row>
        <row r="6115">
          <cell r="B6115">
            <v>2024202380114</v>
          </cell>
          <cell r="BP6115">
            <v>100</v>
          </cell>
        </row>
        <row r="6116">
          <cell r="B6116">
            <v>2024202380116</v>
          </cell>
          <cell r="BP6116">
            <v>100</v>
          </cell>
        </row>
        <row r="6117">
          <cell r="B6117">
            <v>2024202380117</v>
          </cell>
          <cell r="BP6117">
            <v>100</v>
          </cell>
        </row>
        <row r="6118">
          <cell r="B6118">
            <v>2025202500003</v>
          </cell>
          <cell r="BP6118">
            <v>100</v>
          </cell>
        </row>
        <row r="6119">
          <cell r="B6119">
            <v>2025202500004</v>
          </cell>
          <cell r="BP6119">
            <v>100</v>
          </cell>
        </row>
        <row r="6120">
          <cell r="B6120">
            <v>2025202500016</v>
          </cell>
          <cell r="BP6120">
            <v>100</v>
          </cell>
        </row>
        <row r="6121">
          <cell r="B6121">
            <v>2015202500001</v>
          </cell>
          <cell r="BP6121">
            <v>94.3</v>
          </cell>
        </row>
        <row r="6122">
          <cell r="B6122">
            <v>2021202500006</v>
          </cell>
          <cell r="BP6122">
            <v>100</v>
          </cell>
        </row>
        <row r="6123">
          <cell r="B6123">
            <v>2025202500002</v>
          </cell>
          <cell r="BP6123">
            <v>100</v>
          </cell>
        </row>
        <row r="6124">
          <cell r="B6124">
            <v>2024203830043</v>
          </cell>
          <cell r="BP6124">
            <v>100</v>
          </cell>
        </row>
        <row r="6125">
          <cell r="B6125" t="str">
            <v>2024N004130001</v>
          </cell>
          <cell r="BP6125">
            <v>100</v>
          </cell>
        </row>
        <row r="6126">
          <cell r="B6126">
            <v>2024204000071</v>
          </cell>
          <cell r="BP6126">
            <v>100</v>
          </cell>
        </row>
        <row r="6127">
          <cell r="B6127">
            <v>2025204000004</v>
          </cell>
          <cell r="BP6127">
            <v>100</v>
          </cell>
        </row>
        <row r="6128">
          <cell r="B6128">
            <v>2025204000009</v>
          </cell>
          <cell r="BP6128">
            <v>100</v>
          </cell>
        </row>
        <row r="6129">
          <cell r="B6129">
            <v>2025204000010</v>
          </cell>
          <cell r="BP6129">
            <v>100</v>
          </cell>
        </row>
        <row r="6130">
          <cell r="B6130">
            <v>2021204000057</v>
          </cell>
          <cell r="BP6130">
            <v>88.1</v>
          </cell>
        </row>
        <row r="6131">
          <cell r="B6131">
            <v>2025000020043</v>
          </cell>
          <cell r="BP6131">
            <v>100</v>
          </cell>
        </row>
        <row r="6132">
          <cell r="B6132">
            <v>2024204430027</v>
          </cell>
          <cell r="BP6132">
            <v>100</v>
          </cell>
        </row>
        <row r="6133">
          <cell r="B6133">
            <v>2025205170001</v>
          </cell>
          <cell r="BP6133">
            <v>100</v>
          </cell>
        </row>
        <row r="6134">
          <cell r="B6134">
            <v>2025205170002</v>
          </cell>
          <cell r="BP6134">
            <v>100</v>
          </cell>
        </row>
        <row r="6135">
          <cell r="B6135">
            <v>2025205500003</v>
          </cell>
          <cell r="BP6135">
            <v>100</v>
          </cell>
        </row>
        <row r="6136">
          <cell r="B6136">
            <v>2025205500004</v>
          </cell>
          <cell r="BP6136">
            <v>100</v>
          </cell>
        </row>
        <row r="6137">
          <cell r="B6137">
            <v>2025206140003</v>
          </cell>
          <cell r="BP6137">
            <v>100</v>
          </cell>
        </row>
        <row r="6138">
          <cell r="B6138">
            <v>2025206140004</v>
          </cell>
          <cell r="BP6138">
            <v>100</v>
          </cell>
        </row>
        <row r="6139">
          <cell r="B6139">
            <v>2021207100054</v>
          </cell>
          <cell r="BP6139">
            <v>0</v>
          </cell>
        </row>
        <row r="6140">
          <cell r="B6140">
            <v>2025207500005</v>
          </cell>
          <cell r="BP6140">
            <v>100</v>
          </cell>
        </row>
        <row r="6141">
          <cell r="B6141">
            <v>2025207500007</v>
          </cell>
          <cell r="BP6141">
            <v>100</v>
          </cell>
        </row>
        <row r="6142">
          <cell r="B6142">
            <v>2025207500008</v>
          </cell>
          <cell r="BP6142">
            <v>100</v>
          </cell>
        </row>
        <row r="6143">
          <cell r="B6143">
            <v>2025207700007</v>
          </cell>
          <cell r="BP6143">
            <v>100</v>
          </cell>
        </row>
        <row r="6144">
          <cell r="B6144">
            <v>2023207700007</v>
          </cell>
          <cell r="BP6144">
            <v>100</v>
          </cell>
        </row>
        <row r="6145">
          <cell r="B6145">
            <v>2024207700004</v>
          </cell>
          <cell r="BP6145">
            <v>42</v>
          </cell>
        </row>
        <row r="6146">
          <cell r="B6146">
            <v>2025207700001</v>
          </cell>
          <cell r="BP6146">
            <v>100</v>
          </cell>
        </row>
        <row r="6147">
          <cell r="B6147">
            <v>2025207700004</v>
          </cell>
          <cell r="BP6147">
            <v>100</v>
          </cell>
        </row>
        <row r="6148">
          <cell r="B6148">
            <v>2025207870003</v>
          </cell>
          <cell r="BP6148">
            <v>100</v>
          </cell>
        </row>
        <row r="6149">
          <cell r="B6149" t="str">
            <v>2024I00010021</v>
          </cell>
          <cell r="BP6149">
            <v>89</v>
          </cell>
        </row>
        <row r="6150">
          <cell r="B6150">
            <v>2025271350001</v>
          </cell>
          <cell r="BP6150">
            <v>100</v>
          </cell>
        </row>
        <row r="6151">
          <cell r="B6151">
            <v>2025271500004</v>
          </cell>
          <cell r="BP6151">
            <v>89</v>
          </cell>
        </row>
        <row r="6152">
          <cell r="B6152">
            <v>2021000030031</v>
          </cell>
          <cell r="BP6152">
            <v>100</v>
          </cell>
        </row>
        <row r="6153">
          <cell r="B6153">
            <v>2021003270129</v>
          </cell>
          <cell r="BP6153">
            <v>100</v>
          </cell>
        </row>
        <row r="6154">
          <cell r="B6154">
            <v>2020000030106</v>
          </cell>
          <cell r="BP6154">
            <v>100</v>
          </cell>
        </row>
        <row r="6155">
          <cell r="B6155">
            <v>2022276150061</v>
          </cell>
          <cell r="BP6155">
            <v>100</v>
          </cell>
        </row>
        <row r="6156">
          <cell r="B6156">
            <v>2024003270016</v>
          </cell>
          <cell r="BP6156">
            <v>100</v>
          </cell>
        </row>
        <row r="6157">
          <cell r="B6157">
            <v>2024003270095</v>
          </cell>
          <cell r="BP6157">
            <v>100</v>
          </cell>
        </row>
        <row r="6158">
          <cell r="B6158">
            <v>2022003270024</v>
          </cell>
          <cell r="BP6158">
            <v>89</v>
          </cell>
        </row>
        <row r="6159">
          <cell r="B6159">
            <v>2025272050001</v>
          </cell>
          <cell r="BP6159">
            <v>100</v>
          </cell>
        </row>
        <row r="6160">
          <cell r="B6160">
            <v>2025272050003</v>
          </cell>
          <cell r="BP6160">
            <v>100</v>
          </cell>
        </row>
        <row r="6161">
          <cell r="B6161">
            <v>2025272050006</v>
          </cell>
          <cell r="BP6161">
            <v>100</v>
          </cell>
        </row>
        <row r="6162">
          <cell r="B6162">
            <v>2024272450031</v>
          </cell>
          <cell r="BP6162">
            <v>100</v>
          </cell>
        </row>
        <row r="6163">
          <cell r="B6163">
            <v>2024273610039</v>
          </cell>
          <cell r="BP6163">
            <v>100</v>
          </cell>
        </row>
        <row r="6164">
          <cell r="B6164">
            <v>2025274500001</v>
          </cell>
          <cell r="BP6164">
            <v>100</v>
          </cell>
        </row>
        <row r="6165">
          <cell r="B6165">
            <v>2025274930001</v>
          </cell>
          <cell r="BP6165">
            <v>100</v>
          </cell>
        </row>
        <row r="6166">
          <cell r="B6166">
            <v>2025274950001</v>
          </cell>
          <cell r="BP6166">
            <v>89</v>
          </cell>
        </row>
        <row r="6167">
          <cell r="B6167">
            <v>2025276150002</v>
          </cell>
          <cell r="BP6167">
            <v>100</v>
          </cell>
        </row>
        <row r="6168">
          <cell r="B6168">
            <v>2024277450034</v>
          </cell>
          <cell r="BP6168">
            <v>100</v>
          </cell>
        </row>
        <row r="6169">
          <cell r="B6169">
            <v>2025277870004</v>
          </cell>
          <cell r="BP6169">
            <v>89</v>
          </cell>
        </row>
        <row r="6170">
          <cell r="B6170">
            <v>2024278000010</v>
          </cell>
          <cell r="BP6170">
            <v>100</v>
          </cell>
        </row>
        <row r="6171">
          <cell r="B6171">
            <v>2024278100032</v>
          </cell>
          <cell r="BP6171">
            <v>100</v>
          </cell>
        </row>
        <row r="6172">
          <cell r="B6172">
            <v>2025278100007</v>
          </cell>
          <cell r="BP6172">
            <v>100</v>
          </cell>
        </row>
        <row r="6173">
          <cell r="B6173" t="str">
            <v>2025N006720001</v>
          </cell>
          <cell r="BP6173">
            <v>89</v>
          </cell>
        </row>
        <row r="6174">
          <cell r="B6174">
            <v>2025230900001</v>
          </cell>
          <cell r="BP6174">
            <v>100</v>
          </cell>
        </row>
        <row r="6175">
          <cell r="B6175">
            <v>2025230900003</v>
          </cell>
          <cell r="BP6175">
            <v>100</v>
          </cell>
        </row>
        <row r="6176">
          <cell r="B6176" t="str">
            <v>2023M002390003</v>
          </cell>
          <cell r="BP6176">
            <v>100</v>
          </cell>
        </row>
        <row r="6177">
          <cell r="B6177">
            <v>2024231620096</v>
          </cell>
          <cell r="BP6177">
            <v>100</v>
          </cell>
        </row>
        <row r="6178">
          <cell r="B6178">
            <v>2024231680069</v>
          </cell>
          <cell r="BP6178">
            <v>100</v>
          </cell>
        </row>
        <row r="6179">
          <cell r="B6179">
            <v>2025231890001</v>
          </cell>
          <cell r="BP6179">
            <v>100</v>
          </cell>
        </row>
        <row r="6180">
          <cell r="B6180">
            <v>2024002230083</v>
          </cell>
          <cell r="BP6180">
            <v>100</v>
          </cell>
        </row>
        <row r="6181">
          <cell r="B6181">
            <v>2024002230027</v>
          </cell>
          <cell r="BP6181">
            <v>100</v>
          </cell>
        </row>
        <row r="6182">
          <cell r="B6182">
            <v>2024002230112</v>
          </cell>
          <cell r="BP6182">
            <v>100</v>
          </cell>
        </row>
        <row r="6183">
          <cell r="B6183">
            <v>2025000020022</v>
          </cell>
          <cell r="BP6183">
            <v>0</v>
          </cell>
        </row>
        <row r="6184">
          <cell r="B6184">
            <v>2023002230057</v>
          </cell>
          <cell r="BP6184">
            <v>100</v>
          </cell>
        </row>
        <row r="6185">
          <cell r="B6185">
            <v>2023002230018</v>
          </cell>
          <cell r="BP6185">
            <v>100</v>
          </cell>
        </row>
        <row r="6186">
          <cell r="B6186">
            <v>2025236820001</v>
          </cell>
          <cell r="BP6186">
            <v>100</v>
          </cell>
        </row>
        <row r="6187">
          <cell r="B6187">
            <v>2020000100002</v>
          </cell>
          <cell r="BP6187">
            <v>90</v>
          </cell>
        </row>
        <row r="6188">
          <cell r="B6188">
            <v>2020000100325</v>
          </cell>
          <cell r="BP6188">
            <v>100</v>
          </cell>
        </row>
        <row r="6189">
          <cell r="B6189">
            <v>2020000100372</v>
          </cell>
          <cell r="BP6189">
            <v>100</v>
          </cell>
        </row>
        <row r="6190">
          <cell r="B6190">
            <v>2020000100427</v>
          </cell>
          <cell r="BP6190">
            <v>100</v>
          </cell>
        </row>
        <row r="6191">
          <cell r="B6191">
            <v>2020000100757</v>
          </cell>
          <cell r="BP6191">
            <v>100</v>
          </cell>
        </row>
        <row r="6192">
          <cell r="B6192">
            <v>2021000100078</v>
          </cell>
          <cell r="BP6192">
            <v>100</v>
          </cell>
        </row>
        <row r="6193">
          <cell r="B6193">
            <v>2020000100036</v>
          </cell>
          <cell r="BP6193">
            <v>75</v>
          </cell>
        </row>
        <row r="6194">
          <cell r="B6194">
            <v>2020000100417</v>
          </cell>
          <cell r="BP6194">
            <v>100</v>
          </cell>
        </row>
        <row r="6195">
          <cell r="B6195">
            <v>20243208000002</v>
          </cell>
          <cell r="BP6195">
            <v>100</v>
          </cell>
        </row>
        <row r="6196">
          <cell r="B6196">
            <v>2025233000002</v>
          </cell>
          <cell r="BP6196">
            <v>100</v>
          </cell>
        </row>
        <row r="6197">
          <cell r="B6197">
            <v>2024234170080</v>
          </cell>
          <cell r="BP6197">
            <v>100</v>
          </cell>
        </row>
        <row r="6198">
          <cell r="B6198">
            <v>2025234190002</v>
          </cell>
          <cell r="BP6198">
            <v>100</v>
          </cell>
        </row>
        <row r="6199">
          <cell r="B6199">
            <v>2025234190003</v>
          </cell>
          <cell r="BP6199">
            <v>100</v>
          </cell>
        </row>
        <row r="6200">
          <cell r="B6200">
            <v>2025234190004</v>
          </cell>
          <cell r="BP6200">
            <v>100</v>
          </cell>
        </row>
        <row r="6201">
          <cell r="B6201">
            <v>2025234640002</v>
          </cell>
          <cell r="BP6201">
            <v>89</v>
          </cell>
        </row>
        <row r="6202">
          <cell r="B6202">
            <v>2024234660129</v>
          </cell>
          <cell r="BP6202">
            <v>89</v>
          </cell>
        </row>
        <row r="6203">
          <cell r="B6203">
            <v>2024234660117</v>
          </cell>
          <cell r="BP6203">
            <v>100</v>
          </cell>
        </row>
        <row r="6204">
          <cell r="B6204">
            <v>2024234660127</v>
          </cell>
          <cell r="BP6204">
            <v>100</v>
          </cell>
        </row>
        <row r="6205">
          <cell r="B6205">
            <v>2024234660128</v>
          </cell>
          <cell r="BP6205">
            <v>100</v>
          </cell>
        </row>
        <row r="6206">
          <cell r="B6206">
            <v>2024234660131</v>
          </cell>
          <cell r="BP6206">
            <v>100</v>
          </cell>
        </row>
        <row r="6207">
          <cell r="B6207">
            <v>2024234660132</v>
          </cell>
          <cell r="BP6207">
            <v>100</v>
          </cell>
        </row>
        <row r="6208">
          <cell r="B6208">
            <v>2025234660002</v>
          </cell>
          <cell r="BP6208">
            <v>100</v>
          </cell>
        </row>
        <row r="6209">
          <cell r="B6209">
            <v>2025234660003</v>
          </cell>
          <cell r="BP6209">
            <v>100</v>
          </cell>
        </row>
        <row r="6210">
          <cell r="B6210">
            <v>2023230010163</v>
          </cell>
          <cell r="BP6210">
            <v>100</v>
          </cell>
        </row>
        <row r="6211">
          <cell r="B6211">
            <v>2025230010001</v>
          </cell>
          <cell r="BP6211">
            <v>100</v>
          </cell>
        </row>
        <row r="6212">
          <cell r="B6212">
            <v>2025230010005</v>
          </cell>
          <cell r="BP6212">
            <v>100</v>
          </cell>
        </row>
        <row r="6213">
          <cell r="B6213">
            <v>2024235000105</v>
          </cell>
          <cell r="BP6213">
            <v>89</v>
          </cell>
        </row>
        <row r="6214">
          <cell r="B6214">
            <v>2025235000005</v>
          </cell>
          <cell r="BP6214">
            <v>100</v>
          </cell>
        </row>
        <row r="6215">
          <cell r="B6215">
            <v>2025235000010</v>
          </cell>
          <cell r="BP6215">
            <v>100</v>
          </cell>
        </row>
        <row r="6216">
          <cell r="B6216">
            <v>2025235000001</v>
          </cell>
          <cell r="BP6216">
            <v>100</v>
          </cell>
        </row>
        <row r="6217">
          <cell r="B6217">
            <v>2023235550183</v>
          </cell>
          <cell r="BP6217">
            <v>100</v>
          </cell>
        </row>
        <row r="6218">
          <cell r="B6218">
            <v>2024235550123</v>
          </cell>
          <cell r="BP6218">
            <v>100</v>
          </cell>
        </row>
        <row r="6219">
          <cell r="B6219">
            <v>2025235550002</v>
          </cell>
          <cell r="BP6219">
            <v>100</v>
          </cell>
        </row>
        <row r="6220">
          <cell r="B6220" t="str">
            <v>2025M006720001</v>
          </cell>
          <cell r="BP6220">
            <v>89</v>
          </cell>
        </row>
        <row r="6221">
          <cell r="B6221">
            <v>2024235700100</v>
          </cell>
          <cell r="BP6221">
            <v>100</v>
          </cell>
        </row>
        <row r="6222">
          <cell r="B6222">
            <v>2025235700002</v>
          </cell>
          <cell r="BP6222">
            <v>100</v>
          </cell>
        </row>
        <row r="6223">
          <cell r="B6223">
            <v>2025235700004</v>
          </cell>
          <cell r="BP6223">
            <v>100</v>
          </cell>
        </row>
        <row r="6224">
          <cell r="B6224">
            <v>2025235740004</v>
          </cell>
          <cell r="BP6224">
            <v>100</v>
          </cell>
        </row>
        <row r="6225">
          <cell r="B6225">
            <v>2024235800164</v>
          </cell>
          <cell r="BP6225">
            <v>89</v>
          </cell>
        </row>
        <row r="6226">
          <cell r="B6226">
            <v>2024235800165</v>
          </cell>
          <cell r="BP6226">
            <v>100</v>
          </cell>
        </row>
        <row r="6227">
          <cell r="B6227">
            <v>2025235800001</v>
          </cell>
          <cell r="BP6227">
            <v>100</v>
          </cell>
        </row>
        <row r="6228">
          <cell r="B6228">
            <v>2024235800167</v>
          </cell>
          <cell r="BP6228">
            <v>100</v>
          </cell>
        </row>
        <row r="6229">
          <cell r="B6229">
            <v>2025235860001</v>
          </cell>
          <cell r="BP6229">
            <v>100</v>
          </cell>
        </row>
        <row r="6230">
          <cell r="B6230">
            <v>2024236600082</v>
          </cell>
          <cell r="BP6230">
            <v>100</v>
          </cell>
        </row>
        <row r="6231">
          <cell r="B6231">
            <v>2025236600002</v>
          </cell>
          <cell r="BP6231">
            <v>100</v>
          </cell>
        </row>
        <row r="6232">
          <cell r="B6232">
            <v>2025236600003</v>
          </cell>
          <cell r="BP6232">
            <v>100</v>
          </cell>
        </row>
        <row r="6233">
          <cell r="B6233">
            <v>2025236720009</v>
          </cell>
          <cell r="BP6233">
            <v>90</v>
          </cell>
        </row>
        <row r="6234">
          <cell r="B6234">
            <v>2025236720015</v>
          </cell>
          <cell r="BP6234">
            <v>100</v>
          </cell>
        </row>
        <row r="6235">
          <cell r="B6235">
            <v>2025236720006</v>
          </cell>
          <cell r="BP6235">
            <v>100</v>
          </cell>
        </row>
        <row r="6236">
          <cell r="B6236">
            <v>2022236720092</v>
          </cell>
          <cell r="BP6236">
            <v>100</v>
          </cell>
        </row>
        <row r="6237">
          <cell r="B6237">
            <v>2025236720001</v>
          </cell>
          <cell r="BP6237">
            <v>100</v>
          </cell>
        </row>
        <row r="6238">
          <cell r="B6238">
            <v>2025236720003</v>
          </cell>
          <cell r="BP6238">
            <v>100</v>
          </cell>
        </row>
        <row r="6239">
          <cell r="B6239">
            <v>2024236750063</v>
          </cell>
          <cell r="BP6239">
            <v>100</v>
          </cell>
        </row>
        <row r="6240">
          <cell r="B6240">
            <v>2025236750001</v>
          </cell>
          <cell r="BP6240">
            <v>100</v>
          </cell>
        </row>
        <row r="6241">
          <cell r="B6241">
            <v>2024236780070</v>
          </cell>
          <cell r="BP6241">
            <v>100</v>
          </cell>
        </row>
        <row r="6242">
          <cell r="B6242">
            <v>2025236780003</v>
          </cell>
          <cell r="BP6242">
            <v>100</v>
          </cell>
        </row>
        <row r="6243">
          <cell r="B6243">
            <v>2024238070240</v>
          </cell>
          <cell r="BP6243">
            <v>100</v>
          </cell>
        </row>
        <row r="6244">
          <cell r="B6244">
            <v>2024238070241</v>
          </cell>
          <cell r="BP6244">
            <v>100</v>
          </cell>
        </row>
        <row r="6245">
          <cell r="B6245">
            <v>2025238070001</v>
          </cell>
          <cell r="BP6245">
            <v>100</v>
          </cell>
        </row>
        <row r="6246">
          <cell r="B6246">
            <v>2025238070005</v>
          </cell>
          <cell r="BP6246">
            <v>90</v>
          </cell>
        </row>
        <row r="6247">
          <cell r="B6247">
            <v>2025238550004</v>
          </cell>
          <cell r="BP6247">
            <v>100</v>
          </cell>
        </row>
        <row r="6248">
          <cell r="B6248">
            <v>2025238550002</v>
          </cell>
          <cell r="BP6248">
            <v>100</v>
          </cell>
        </row>
        <row r="6249">
          <cell r="B6249">
            <v>2023251480022</v>
          </cell>
          <cell r="BP6249">
            <v>100</v>
          </cell>
        </row>
        <row r="6250">
          <cell r="B6250">
            <v>2025251780001</v>
          </cell>
          <cell r="BP6250">
            <v>100</v>
          </cell>
        </row>
        <row r="6251">
          <cell r="B6251">
            <v>2021000100317</v>
          </cell>
          <cell r="BP6251">
            <v>89</v>
          </cell>
        </row>
        <row r="6252">
          <cell r="B6252">
            <v>2024004250246</v>
          </cell>
          <cell r="BP6252">
            <v>100</v>
          </cell>
        </row>
        <row r="6253">
          <cell r="B6253">
            <v>2023004250044</v>
          </cell>
          <cell r="BP6253">
            <v>100</v>
          </cell>
        </row>
        <row r="6254">
          <cell r="B6254">
            <v>2020000100343</v>
          </cell>
          <cell r="BP6254">
            <v>56</v>
          </cell>
        </row>
        <row r="6255">
          <cell r="B6255">
            <v>2020000100158</v>
          </cell>
          <cell r="BP6255">
            <v>100</v>
          </cell>
        </row>
        <row r="6256">
          <cell r="B6256">
            <v>2020000100342</v>
          </cell>
          <cell r="BP6256">
            <v>100</v>
          </cell>
        </row>
        <row r="6257">
          <cell r="B6257">
            <v>2024252450027</v>
          </cell>
          <cell r="BP6257">
            <v>100</v>
          </cell>
        </row>
        <row r="6258">
          <cell r="B6258">
            <v>2022252600031</v>
          </cell>
          <cell r="BP6258">
            <v>100</v>
          </cell>
        </row>
        <row r="6259">
          <cell r="B6259">
            <v>2022252600068</v>
          </cell>
          <cell r="BP6259">
            <v>100</v>
          </cell>
        </row>
        <row r="6260">
          <cell r="B6260">
            <v>2024252790081</v>
          </cell>
          <cell r="BP6260">
            <v>89</v>
          </cell>
        </row>
        <row r="6261">
          <cell r="B6261">
            <v>2025252790001</v>
          </cell>
          <cell r="BP6261">
            <v>100</v>
          </cell>
        </row>
        <row r="6262">
          <cell r="B6262">
            <v>2023252880008</v>
          </cell>
          <cell r="BP6262">
            <v>100</v>
          </cell>
        </row>
        <row r="6263">
          <cell r="B6263">
            <v>2025253120001</v>
          </cell>
          <cell r="BP6263">
            <v>100</v>
          </cell>
        </row>
        <row r="6264">
          <cell r="B6264">
            <v>2023253170029</v>
          </cell>
          <cell r="BP6264">
            <v>100</v>
          </cell>
        </row>
        <row r="6265">
          <cell r="B6265">
            <v>2025253170009</v>
          </cell>
          <cell r="BP6265">
            <v>90</v>
          </cell>
        </row>
        <row r="6266">
          <cell r="B6266">
            <v>2025253170011</v>
          </cell>
          <cell r="BP6266">
            <v>90</v>
          </cell>
        </row>
        <row r="6267">
          <cell r="B6267">
            <v>2025253240001</v>
          </cell>
          <cell r="BP6267">
            <v>100</v>
          </cell>
        </row>
        <row r="6268">
          <cell r="B6268">
            <v>2025253240002</v>
          </cell>
          <cell r="BP6268">
            <v>100</v>
          </cell>
        </row>
        <row r="6269">
          <cell r="B6269">
            <v>2025253860001</v>
          </cell>
          <cell r="BP6269">
            <v>100</v>
          </cell>
        </row>
        <row r="6270">
          <cell r="B6270">
            <v>2025254070001</v>
          </cell>
          <cell r="BP6270">
            <v>100</v>
          </cell>
        </row>
        <row r="6271">
          <cell r="B6271">
            <v>2025254070002</v>
          </cell>
          <cell r="BP6271">
            <v>100</v>
          </cell>
        </row>
        <row r="6272">
          <cell r="B6272">
            <v>2022254880019</v>
          </cell>
          <cell r="BP6272">
            <v>90</v>
          </cell>
        </row>
        <row r="6273">
          <cell r="B6273">
            <v>2023254880032</v>
          </cell>
          <cell r="BP6273">
            <v>100</v>
          </cell>
        </row>
        <row r="6274">
          <cell r="B6274">
            <v>2023254890004</v>
          </cell>
          <cell r="BP6274">
            <v>100</v>
          </cell>
        </row>
        <row r="6275">
          <cell r="B6275">
            <v>2025255130001</v>
          </cell>
          <cell r="BP6275">
            <v>89</v>
          </cell>
        </row>
        <row r="6276">
          <cell r="B6276">
            <v>2025255130002</v>
          </cell>
          <cell r="BP6276">
            <v>89</v>
          </cell>
        </row>
        <row r="6277">
          <cell r="B6277">
            <v>2025255130003</v>
          </cell>
          <cell r="BP6277">
            <v>100</v>
          </cell>
        </row>
        <row r="6278">
          <cell r="B6278">
            <v>2025255130004</v>
          </cell>
          <cell r="BP6278">
            <v>100</v>
          </cell>
        </row>
        <row r="6279">
          <cell r="B6279">
            <v>2025255240002</v>
          </cell>
          <cell r="BP6279">
            <v>100</v>
          </cell>
        </row>
        <row r="6280">
          <cell r="B6280">
            <v>2023255240038</v>
          </cell>
          <cell r="BP6280">
            <v>100</v>
          </cell>
        </row>
        <row r="6281">
          <cell r="B6281">
            <v>2025255350001</v>
          </cell>
          <cell r="BP6281">
            <v>100</v>
          </cell>
        </row>
        <row r="6282">
          <cell r="B6282">
            <v>2025255350002</v>
          </cell>
          <cell r="BP6282">
            <v>100</v>
          </cell>
        </row>
        <row r="6283">
          <cell r="B6283">
            <v>20242500040001</v>
          </cell>
          <cell r="BP6283">
            <v>100</v>
          </cell>
        </row>
        <row r="6284">
          <cell r="B6284">
            <v>2025255720003</v>
          </cell>
          <cell r="BP6284">
            <v>100</v>
          </cell>
        </row>
        <row r="6285">
          <cell r="B6285">
            <v>2025255720004</v>
          </cell>
          <cell r="BP6285">
            <v>100</v>
          </cell>
        </row>
        <row r="6286">
          <cell r="B6286">
            <v>2025255720006</v>
          </cell>
          <cell r="BP6286">
            <v>100</v>
          </cell>
        </row>
        <row r="6287">
          <cell r="B6287">
            <v>2025255720007</v>
          </cell>
          <cell r="BP6287">
            <v>100</v>
          </cell>
        </row>
        <row r="6288">
          <cell r="B6288">
            <v>2025255800002</v>
          </cell>
          <cell r="BP6288">
            <v>100</v>
          </cell>
        </row>
        <row r="6289">
          <cell r="B6289">
            <v>2022257180003</v>
          </cell>
          <cell r="BP6289">
            <v>100</v>
          </cell>
        </row>
        <row r="6290">
          <cell r="B6290">
            <v>2025257450001</v>
          </cell>
          <cell r="BP6290">
            <v>89</v>
          </cell>
        </row>
        <row r="6291">
          <cell r="B6291">
            <v>2025257790002</v>
          </cell>
          <cell r="BP6291">
            <v>100</v>
          </cell>
        </row>
        <row r="6292">
          <cell r="B6292">
            <v>2025257790001</v>
          </cell>
          <cell r="BP6292">
            <v>100</v>
          </cell>
        </row>
        <row r="6293">
          <cell r="B6293">
            <v>2024257850057</v>
          </cell>
          <cell r="BP6293">
            <v>100</v>
          </cell>
        </row>
        <row r="6294">
          <cell r="B6294">
            <v>2025257850001</v>
          </cell>
          <cell r="BP6294">
            <v>100</v>
          </cell>
        </row>
        <row r="6295">
          <cell r="B6295">
            <v>2024258150055</v>
          </cell>
          <cell r="BP6295">
            <v>100</v>
          </cell>
        </row>
        <row r="6296">
          <cell r="B6296">
            <v>2023258850030</v>
          </cell>
          <cell r="BP6296">
            <v>0</v>
          </cell>
        </row>
        <row r="6297">
          <cell r="B6297">
            <v>2023258850031</v>
          </cell>
          <cell r="BP6297">
            <v>100</v>
          </cell>
        </row>
        <row r="6298">
          <cell r="B6298">
            <v>2025258990001</v>
          </cell>
          <cell r="BP6298">
            <v>100</v>
          </cell>
        </row>
        <row r="6299">
          <cell r="B6299">
            <v>2024005940002</v>
          </cell>
          <cell r="BP6299">
            <v>98.2</v>
          </cell>
        </row>
        <row r="6300">
          <cell r="B6300">
            <v>2023950150018</v>
          </cell>
          <cell r="BP6300">
            <v>100</v>
          </cell>
        </row>
        <row r="6301">
          <cell r="B6301">
            <v>20201301011383</v>
          </cell>
          <cell r="BP6301">
            <v>100</v>
          </cell>
        </row>
        <row r="6302">
          <cell r="B6302">
            <v>2024950250038</v>
          </cell>
          <cell r="BP6302">
            <v>100</v>
          </cell>
        </row>
        <row r="6303">
          <cell r="B6303">
            <v>20211301010498</v>
          </cell>
          <cell r="BP6303">
            <v>90</v>
          </cell>
        </row>
        <row r="6304">
          <cell r="B6304">
            <v>2021005950062</v>
          </cell>
          <cell r="BP6304">
            <v>100</v>
          </cell>
        </row>
        <row r="6305">
          <cell r="B6305">
            <v>2024000070004</v>
          </cell>
          <cell r="BP6305">
            <v>98.6</v>
          </cell>
        </row>
        <row r="6306">
          <cell r="B6306">
            <v>2024005950148</v>
          </cell>
          <cell r="BP6306">
            <v>100</v>
          </cell>
        </row>
        <row r="6307">
          <cell r="B6307">
            <v>2025005950003</v>
          </cell>
          <cell r="BP6307">
            <v>100</v>
          </cell>
        </row>
        <row r="6308">
          <cell r="B6308">
            <v>2025005950002</v>
          </cell>
          <cell r="BP6308">
            <v>100</v>
          </cell>
        </row>
        <row r="6309">
          <cell r="B6309">
            <v>2022952000043</v>
          </cell>
          <cell r="BP6309">
            <v>90</v>
          </cell>
        </row>
        <row r="6310">
          <cell r="B6310">
            <v>2024950010071</v>
          </cell>
          <cell r="BP6310">
            <v>100</v>
          </cell>
        </row>
        <row r="6311">
          <cell r="B6311">
            <v>2024950010072</v>
          </cell>
          <cell r="BP6311">
            <v>89</v>
          </cell>
        </row>
        <row r="6312">
          <cell r="B6312">
            <v>2023410060044</v>
          </cell>
          <cell r="BP6312">
            <v>100</v>
          </cell>
        </row>
        <row r="6313">
          <cell r="B6313">
            <v>2025410160004</v>
          </cell>
          <cell r="BP6313">
            <v>89</v>
          </cell>
        </row>
        <row r="6314">
          <cell r="B6314">
            <v>2025410160006</v>
          </cell>
          <cell r="BP6314">
            <v>89</v>
          </cell>
        </row>
        <row r="6315">
          <cell r="B6315">
            <v>2024410160079</v>
          </cell>
          <cell r="BP6315">
            <v>100</v>
          </cell>
        </row>
        <row r="6316">
          <cell r="B6316">
            <v>2025410780006</v>
          </cell>
          <cell r="BP6316">
            <v>100</v>
          </cell>
        </row>
        <row r="6317">
          <cell r="B6317">
            <v>2025412060002</v>
          </cell>
          <cell r="BP6317">
            <v>100</v>
          </cell>
        </row>
        <row r="6318">
          <cell r="B6318">
            <v>2023412980002</v>
          </cell>
          <cell r="BP6318">
            <v>100</v>
          </cell>
        </row>
        <row r="6319">
          <cell r="B6319">
            <v>2023004410053</v>
          </cell>
          <cell r="BP6319">
            <v>100</v>
          </cell>
        </row>
        <row r="6320">
          <cell r="B6320">
            <v>2023413060005</v>
          </cell>
          <cell r="BP6320">
            <v>100</v>
          </cell>
        </row>
        <row r="6321">
          <cell r="B6321">
            <v>2025413060001</v>
          </cell>
          <cell r="BP6321">
            <v>100</v>
          </cell>
        </row>
        <row r="6322">
          <cell r="B6322">
            <v>2025413060002</v>
          </cell>
          <cell r="BP6322">
            <v>100</v>
          </cell>
        </row>
        <row r="6323">
          <cell r="B6323">
            <v>2024413060001</v>
          </cell>
          <cell r="BP6323">
            <v>0</v>
          </cell>
        </row>
        <row r="6324">
          <cell r="B6324">
            <v>2023413190056</v>
          </cell>
          <cell r="BP6324">
            <v>100</v>
          </cell>
        </row>
        <row r="6325">
          <cell r="B6325">
            <v>2018000060061</v>
          </cell>
          <cell r="BP6325">
            <v>100</v>
          </cell>
        </row>
        <row r="6326">
          <cell r="B6326">
            <v>2018004410382</v>
          </cell>
          <cell r="BP6326">
            <v>100</v>
          </cell>
        </row>
        <row r="6327">
          <cell r="B6327">
            <v>2018004410398</v>
          </cell>
          <cell r="BP6327">
            <v>92.1</v>
          </cell>
        </row>
        <row r="6328">
          <cell r="B6328">
            <v>2019000060006</v>
          </cell>
          <cell r="BP6328">
            <v>0</v>
          </cell>
        </row>
        <row r="6329">
          <cell r="B6329">
            <v>2019004410040</v>
          </cell>
          <cell r="BP6329">
            <v>90</v>
          </cell>
        </row>
        <row r="6330">
          <cell r="B6330">
            <v>2021004410025</v>
          </cell>
          <cell r="BP6330">
            <v>100</v>
          </cell>
        </row>
        <row r="6331">
          <cell r="B6331">
            <v>2021004410143</v>
          </cell>
          <cell r="BP6331">
            <v>94.7</v>
          </cell>
        </row>
        <row r="6332">
          <cell r="B6332">
            <v>2021004410162</v>
          </cell>
          <cell r="BP6332">
            <v>100</v>
          </cell>
        </row>
        <row r="6333">
          <cell r="B6333">
            <v>2022004410002</v>
          </cell>
          <cell r="BP6333">
            <v>100</v>
          </cell>
        </row>
        <row r="6334">
          <cell r="B6334">
            <v>2022004410040</v>
          </cell>
          <cell r="BP6334">
            <v>98.4</v>
          </cell>
        </row>
        <row r="6335">
          <cell r="B6335">
            <v>2022004410053</v>
          </cell>
          <cell r="BP6335">
            <v>97.7</v>
          </cell>
        </row>
        <row r="6336">
          <cell r="B6336">
            <v>2022004410176</v>
          </cell>
          <cell r="BP6336">
            <v>100</v>
          </cell>
        </row>
        <row r="6337">
          <cell r="B6337">
            <v>2022004410200</v>
          </cell>
          <cell r="BP6337">
            <v>100</v>
          </cell>
        </row>
        <row r="6338">
          <cell r="B6338">
            <v>2023004410006</v>
          </cell>
          <cell r="BP6338">
            <v>58.1</v>
          </cell>
        </row>
        <row r="6339">
          <cell r="B6339">
            <v>2023004410027</v>
          </cell>
          <cell r="BP6339">
            <v>100</v>
          </cell>
        </row>
        <row r="6340">
          <cell r="B6340">
            <v>2023004410038</v>
          </cell>
          <cell r="BP6340">
            <v>100</v>
          </cell>
        </row>
        <row r="6341">
          <cell r="B6341">
            <v>2023004410039</v>
          </cell>
          <cell r="BP6341">
            <v>100</v>
          </cell>
        </row>
        <row r="6342">
          <cell r="B6342">
            <v>2023004410042</v>
          </cell>
          <cell r="BP6342">
            <v>100</v>
          </cell>
        </row>
        <row r="6343">
          <cell r="B6343">
            <v>2023004410058</v>
          </cell>
          <cell r="BP6343">
            <v>100</v>
          </cell>
        </row>
        <row r="6344">
          <cell r="B6344">
            <v>2023004410069</v>
          </cell>
          <cell r="BP6344">
            <v>100</v>
          </cell>
        </row>
        <row r="6345">
          <cell r="B6345">
            <v>2023004410119</v>
          </cell>
          <cell r="BP6345">
            <v>100</v>
          </cell>
        </row>
        <row r="6346">
          <cell r="B6346">
            <v>2023004410128</v>
          </cell>
          <cell r="BP6346">
            <v>100</v>
          </cell>
        </row>
        <row r="6347">
          <cell r="B6347">
            <v>2023004410129</v>
          </cell>
          <cell r="BP6347">
            <v>100</v>
          </cell>
        </row>
        <row r="6348">
          <cell r="B6348">
            <v>2023004410147</v>
          </cell>
          <cell r="BP6348">
            <v>100</v>
          </cell>
        </row>
        <row r="6349">
          <cell r="B6349">
            <v>2021000100330</v>
          </cell>
          <cell r="BP6349">
            <v>100</v>
          </cell>
        </row>
        <row r="6350">
          <cell r="B6350">
            <v>2023004410073</v>
          </cell>
          <cell r="BP6350">
            <v>100</v>
          </cell>
        </row>
        <row r="6351">
          <cell r="B6351">
            <v>2021000100166</v>
          </cell>
          <cell r="BP6351">
            <v>100</v>
          </cell>
        </row>
        <row r="6352">
          <cell r="B6352">
            <v>2021000100200</v>
          </cell>
          <cell r="BP6352">
            <v>100</v>
          </cell>
        </row>
        <row r="6353">
          <cell r="B6353">
            <v>2024004410029</v>
          </cell>
          <cell r="BP6353">
            <v>90</v>
          </cell>
        </row>
        <row r="6354">
          <cell r="B6354">
            <v>2024004410147</v>
          </cell>
          <cell r="BP6354">
            <v>100</v>
          </cell>
        </row>
        <row r="6355">
          <cell r="B6355">
            <v>2024004410162</v>
          </cell>
          <cell r="BP6355">
            <v>100</v>
          </cell>
        </row>
        <row r="6356">
          <cell r="B6356">
            <v>2023004410044</v>
          </cell>
          <cell r="BP6356">
            <v>100</v>
          </cell>
        </row>
        <row r="6357">
          <cell r="B6357">
            <v>2023004410087</v>
          </cell>
          <cell r="BP6357">
            <v>100</v>
          </cell>
        </row>
        <row r="6358">
          <cell r="B6358">
            <v>2025004410005</v>
          </cell>
          <cell r="BP6358">
            <v>88.4</v>
          </cell>
        </row>
        <row r="6359">
          <cell r="B6359">
            <v>2024004410160</v>
          </cell>
          <cell r="BP6359">
            <v>100</v>
          </cell>
        </row>
        <row r="6360">
          <cell r="B6360">
            <v>2022004410066</v>
          </cell>
          <cell r="BP6360">
            <v>100</v>
          </cell>
        </row>
        <row r="6361">
          <cell r="B6361">
            <v>2024004410041</v>
          </cell>
          <cell r="BP6361">
            <v>92.3</v>
          </cell>
        </row>
        <row r="6362">
          <cell r="B6362">
            <v>2024004410039</v>
          </cell>
          <cell r="BP6362">
            <v>100</v>
          </cell>
        </row>
        <row r="6363">
          <cell r="B6363">
            <v>2020000100031</v>
          </cell>
          <cell r="BP6363">
            <v>100</v>
          </cell>
        </row>
        <row r="6364">
          <cell r="B6364">
            <v>2020000100034</v>
          </cell>
          <cell r="BP6364">
            <v>100</v>
          </cell>
        </row>
        <row r="6365">
          <cell r="B6365">
            <v>2020000100460</v>
          </cell>
          <cell r="BP6365">
            <v>0</v>
          </cell>
        </row>
        <row r="6366">
          <cell r="B6366">
            <v>2025413590001</v>
          </cell>
          <cell r="BP6366">
            <v>100</v>
          </cell>
        </row>
        <row r="6367">
          <cell r="B6367">
            <v>2024413780050</v>
          </cell>
          <cell r="BP6367">
            <v>90</v>
          </cell>
        </row>
        <row r="6368">
          <cell r="B6368">
            <v>2024413960037</v>
          </cell>
          <cell r="BP6368">
            <v>90</v>
          </cell>
        </row>
        <row r="6369">
          <cell r="B6369">
            <v>2024413960093</v>
          </cell>
          <cell r="BP6369">
            <v>100</v>
          </cell>
        </row>
        <row r="6370">
          <cell r="B6370">
            <v>2024414830061</v>
          </cell>
          <cell r="BP6370">
            <v>100</v>
          </cell>
        </row>
        <row r="6371">
          <cell r="B6371">
            <v>2023410010110</v>
          </cell>
          <cell r="BP6371">
            <v>77.3</v>
          </cell>
        </row>
        <row r="6372">
          <cell r="B6372">
            <v>2025410010001</v>
          </cell>
          <cell r="BP6372">
            <v>100</v>
          </cell>
        </row>
        <row r="6373">
          <cell r="B6373">
            <v>2019415240083</v>
          </cell>
          <cell r="BP6373">
            <v>100</v>
          </cell>
        </row>
        <row r="6374">
          <cell r="B6374">
            <v>2024415240128</v>
          </cell>
          <cell r="BP6374">
            <v>100</v>
          </cell>
        </row>
        <row r="6375">
          <cell r="B6375">
            <v>2025415240002</v>
          </cell>
          <cell r="BP6375">
            <v>100</v>
          </cell>
        </row>
        <row r="6376">
          <cell r="B6376">
            <v>2015415240001</v>
          </cell>
          <cell r="BP6376">
            <v>0</v>
          </cell>
        </row>
        <row r="6377">
          <cell r="B6377">
            <v>2023415300006</v>
          </cell>
          <cell r="BP6377">
            <v>100</v>
          </cell>
        </row>
        <row r="6378">
          <cell r="B6378">
            <v>2025415300002</v>
          </cell>
          <cell r="BP6378">
            <v>100</v>
          </cell>
        </row>
        <row r="6379">
          <cell r="B6379">
            <v>2024415480042</v>
          </cell>
          <cell r="BP6379">
            <v>89</v>
          </cell>
        </row>
        <row r="6380">
          <cell r="B6380">
            <v>2024415510096</v>
          </cell>
          <cell r="BP6380">
            <v>100</v>
          </cell>
        </row>
        <row r="6381">
          <cell r="B6381">
            <v>2013415510002</v>
          </cell>
          <cell r="BP6381">
            <v>100</v>
          </cell>
        </row>
        <row r="6382">
          <cell r="B6382">
            <v>2025415510001</v>
          </cell>
          <cell r="BP6382">
            <v>90</v>
          </cell>
        </row>
        <row r="6383">
          <cell r="B6383">
            <v>2025416150003</v>
          </cell>
          <cell r="BP6383">
            <v>100</v>
          </cell>
        </row>
        <row r="6384">
          <cell r="B6384">
            <v>2025416680002</v>
          </cell>
          <cell r="BP6384">
            <v>100</v>
          </cell>
        </row>
        <row r="6385">
          <cell r="B6385">
            <v>2025416680004</v>
          </cell>
          <cell r="BP6385">
            <v>89</v>
          </cell>
        </row>
        <row r="6386">
          <cell r="B6386">
            <v>2025416680006</v>
          </cell>
          <cell r="BP6386">
            <v>100</v>
          </cell>
        </row>
        <row r="6387">
          <cell r="B6387">
            <v>2025417700001</v>
          </cell>
          <cell r="BP6387">
            <v>100</v>
          </cell>
        </row>
        <row r="6388">
          <cell r="B6388">
            <v>2024417910088</v>
          </cell>
          <cell r="BP6388">
            <v>100</v>
          </cell>
        </row>
        <row r="6389">
          <cell r="B6389">
            <v>2025417910003</v>
          </cell>
          <cell r="BP6389">
            <v>100</v>
          </cell>
        </row>
        <row r="6390">
          <cell r="B6390">
            <v>2024417990016</v>
          </cell>
          <cell r="BP6390">
            <v>100</v>
          </cell>
        </row>
        <row r="6391">
          <cell r="B6391">
            <v>2025417970002</v>
          </cell>
          <cell r="BP6391">
            <v>100</v>
          </cell>
        </row>
        <row r="6392">
          <cell r="B6392">
            <v>2021418850018</v>
          </cell>
          <cell r="BP6392">
            <v>100</v>
          </cell>
        </row>
        <row r="6393">
          <cell r="B6393">
            <v>2021418850059</v>
          </cell>
          <cell r="BP6393">
            <v>90</v>
          </cell>
        </row>
        <row r="6394">
          <cell r="B6394">
            <v>2023418850004</v>
          </cell>
          <cell r="BP6394">
            <v>89</v>
          </cell>
        </row>
        <row r="6395">
          <cell r="B6395">
            <v>2023418850005</v>
          </cell>
          <cell r="BP6395">
            <v>100</v>
          </cell>
        </row>
        <row r="6396">
          <cell r="B6396">
            <v>2025418850003</v>
          </cell>
          <cell r="BP6396">
            <v>100</v>
          </cell>
        </row>
        <row r="6397">
          <cell r="B6397">
            <v>2022418850002</v>
          </cell>
          <cell r="BP6397">
            <v>100</v>
          </cell>
        </row>
        <row r="6398">
          <cell r="B6398">
            <v>2025440350027</v>
          </cell>
          <cell r="BP6398">
            <v>100</v>
          </cell>
        </row>
        <row r="6399">
          <cell r="B6399">
            <v>2024440350059</v>
          </cell>
          <cell r="BP6399">
            <v>100</v>
          </cell>
        </row>
        <row r="6400">
          <cell r="B6400">
            <v>2024440350081</v>
          </cell>
          <cell r="BP6400">
            <v>100</v>
          </cell>
        </row>
        <row r="6401">
          <cell r="B6401">
            <v>2024440350085</v>
          </cell>
          <cell r="BP6401">
            <v>100</v>
          </cell>
        </row>
        <row r="6402">
          <cell r="B6402">
            <v>2022440350082</v>
          </cell>
          <cell r="BP6402">
            <v>100</v>
          </cell>
        </row>
        <row r="6403">
          <cell r="B6403">
            <v>2024440350008</v>
          </cell>
          <cell r="BP6403">
            <v>100</v>
          </cell>
        </row>
        <row r="6404">
          <cell r="B6404">
            <v>2025440350009</v>
          </cell>
          <cell r="BP6404">
            <v>100</v>
          </cell>
        </row>
        <row r="6405">
          <cell r="B6405" t="str">
            <v>2022I00010007</v>
          </cell>
          <cell r="BP6405">
            <v>100</v>
          </cell>
        </row>
        <row r="6406">
          <cell r="B6406">
            <v>2025440780001</v>
          </cell>
          <cell r="BP6406">
            <v>100</v>
          </cell>
        </row>
        <row r="6407">
          <cell r="B6407">
            <v>2025440780003</v>
          </cell>
          <cell r="BP6407">
            <v>100</v>
          </cell>
        </row>
        <row r="6408">
          <cell r="B6408">
            <v>2025440780004</v>
          </cell>
          <cell r="BP6408">
            <v>100</v>
          </cell>
        </row>
        <row r="6409">
          <cell r="B6409">
            <v>2025440780009</v>
          </cell>
          <cell r="BP6409">
            <v>89</v>
          </cell>
        </row>
        <row r="6410">
          <cell r="B6410">
            <v>2025440780023</v>
          </cell>
          <cell r="BP6410">
            <v>100</v>
          </cell>
        </row>
        <row r="6411">
          <cell r="B6411">
            <v>2023440780077</v>
          </cell>
          <cell r="BP6411">
            <v>90</v>
          </cell>
        </row>
        <row r="6412">
          <cell r="B6412">
            <v>2023440780082</v>
          </cell>
          <cell r="BP6412">
            <v>100</v>
          </cell>
        </row>
        <row r="6413">
          <cell r="B6413">
            <v>2024440780059</v>
          </cell>
          <cell r="BP6413">
            <v>100</v>
          </cell>
        </row>
        <row r="6414">
          <cell r="B6414">
            <v>2024440780065</v>
          </cell>
          <cell r="BP6414">
            <v>100</v>
          </cell>
        </row>
        <row r="6415">
          <cell r="B6415">
            <v>2024440780069</v>
          </cell>
          <cell r="BP6415">
            <v>100</v>
          </cell>
        </row>
        <row r="6416">
          <cell r="B6416">
            <v>2024440780078</v>
          </cell>
          <cell r="BP6416">
            <v>100</v>
          </cell>
        </row>
        <row r="6417">
          <cell r="B6417">
            <v>2024440780079</v>
          </cell>
          <cell r="BP6417">
            <v>100</v>
          </cell>
        </row>
        <row r="6418">
          <cell r="B6418">
            <v>2024440780123</v>
          </cell>
          <cell r="BP6418">
            <v>100</v>
          </cell>
        </row>
        <row r="6419">
          <cell r="B6419">
            <v>2024440780133</v>
          </cell>
          <cell r="BP6419">
            <v>100</v>
          </cell>
        </row>
        <row r="6420">
          <cell r="B6420">
            <v>20233218000010</v>
          </cell>
          <cell r="BP6420">
            <v>100</v>
          </cell>
        </row>
        <row r="6421">
          <cell r="B6421">
            <v>20243218000001</v>
          </cell>
          <cell r="BP6421">
            <v>100</v>
          </cell>
        </row>
        <row r="6422">
          <cell r="B6422">
            <v>20253218000001</v>
          </cell>
          <cell r="BP6422">
            <v>100</v>
          </cell>
        </row>
        <row r="6423">
          <cell r="B6423">
            <v>2025440900002</v>
          </cell>
          <cell r="BP6423">
            <v>89</v>
          </cell>
        </row>
        <row r="6424">
          <cell r="B6424">
            <v>20243218000003</v>
          </cell>
          <cell r="BP6424">
            <v>89</v>
          </cell>
        </row>
        <row r="6425">
          <cell r="B6425">
            <v>2025440980002</v>
          </cell>
          <cell r="BP6425">
            <v>89</v>
          </cell>
        </row>
        <row r="6426">
          <cell r="B6426">
            <v>2025443780002</v>
          </cell>
          <cell r="BP6426">
            <v>100</v>
          </cell>
        </row>
        <row r="6427">
          <cell r="B6427">
            <v>2025443780007</v>
          </cell>
          <cell r="BP6427">
            <v>100</v>
          </cell>
        </row>
        <row r="6428">
          <cell r="B6428">
            <v>2025443780004</v>
          </cell>
          <cell r="BP6428">
            <v>100</v>
          </cell>
        </row>
        <row r="6429">
          <cell r="B6429">
            <v>2025443780009</v>
          </cell>
          <cell r="BP6429">
            <v>100</v>
          </cell>
        </row>
        <row r="6430">
          <cell r="B6430">
            <v>2025443780012</v>
          </cell>
          <cell r="BP6430">
            <v>100</v>
          </cell>
        </row>
        <row r="6431">
          <cell r="B6431">
            <v>2012002440044</v>
          </cell>
          <cell r="BP6431">
            <v>0</v>
          </cell>
        </row>
        <row r="6432">
          <cell r="B6432">
            <v>2017000020049</v>
          </cell>
          <cell r="BP6432">
            <v>100</v>
          </cell>
        </row>
        <row r="6433">
          <cell r="B6433">
            <v>2024002440096</v>
          </cell>
          <cell r="BP6433">
            <v>100</v>
          </cell>
        </row>
        <row r="6434">
          <cell r="B6434">
            <v>2024002440113</v>
          </cell>
          <cell r="BP6434">
            <v>100</v>
          </cell>
        </row>
        <row r="6435">
          <cell r="B6435">
            <v>2023440900060</v>
          </cell>
          <cell r="BP6435">
            <v>90</v>
          </cell>
        </row>
        <row r="6436">
          <cell r="B6436">
            <v>2024440980010</v>
          </cell>
          <cell r="BP6436">
            <v>89</v>
          </cell>
        </row>
        <row r="6437">
          <cell r="B6437">
            <v>2021002440081</v>
          </cell>
          <cell r="BP6437">
            <v>100</v>
          </cell>
        </row>
        <row r="6438">
          <cell r="B6438">
            <v>2024002440041</v>
          </cell>
          <cell r="BP6438">
            <v>100</v>
          </cell>
        </row>
        <row r="6439">
          <cell r="B6439">
            <v>2024002440090</v>
          </cell>
          <cell r="BP6439">
            <v>100</v>
          </cell>
        </row>
        <row r="6440">
          <cell r="B6440">
            <v>2024002440106</v>
          </cell>
          <cell r="BP6440">
            <v>100</v>
          </cell>
        </row>
        <row r="6441">
          <cell r="B6441">
            <v>2024002440109</v>
          </cell>
          <cell r="BP6441">
            <v>90</v>
          </cell>
        </row>
        <row r="6442">
          <cell r="B6442">
            <v>2022002440058</v>
          </cell>
          <cell r="BP6442">
            <v>100</v>
          </cell>
        </row>
        <row r="6443">
          <cell r="B6443">
            <v>2023002440052</v>
          </cell>
          <cell r="BP6443">
            <v>100</v>
          </cell>
        </row>
        <row r="6444">
          <cell r="B6444">
            <v>2024002440123</v>
          </cell>
          <cell r="BP6444">
            <v>100</v>
          </cell>
        </row>
        <row r="6445">
          <cell r="B6445">
            <v>2021000100242</v>
          </cell>
          <cell r="BP6445">
            <v>100</v>
          </cell>
        </row>
        <row r="6446">
          <cell r="B6446">
            <v>2023002440050</v>
          </cell>
          <cell r="BP6446">
            <v>100</v>
          </cell>
        </row>
        <row r="6447">
          <cell r="B6447">
            <v>2025002440007</v>
          </cell>
          <cell r="BP6447">
            <v>100</v>
          </cell>
        </row>
        <row r="6448">
          <cell r="B6448">
            <v>2020000100487</v>
          </cell>
          <cell r="BP6448">
            <v>100</v>
          </cell>
        </row>
        <row r="6449">
          <cell r="B6449">
            <v>2025444200001</v>
          </cell>
          <cell r="BP6449">
            <v>100</v>
          </cell>
        </row>
        <row r="6450">
          <cell r="B6450">
            <v>2025444200002</v>
          </cell>
          <cell r="BP6450">
            <v>100</v>
          </cell>
        </row>
        <row r="6451">
          <cell r="B6451">
            <v>2023444300044</v>
          </cell>
          <cell r="BP6451">
            <v>100</v>
          </cell>
        </row>
        <row r="6452">
          <cell r="B6452">
            <v>2013444300005</v>
          </cell>
          <cell r="BP6452">
            <v>100</v>
          </cell>
        </row>
        <row r="6453">
          <cell r="B6453">
            <v>2013444300008</v>
          </cell>
          <cell r="BP6453">
            <v>100</v>
          </cell>
        </row>
        <row r="6454">
          <cell r="B6454">
            <v>2017444300011</v>
          </cell>
          <cell r="BP6454">
            <v>100</v>
          </cell>
        </row>
        <row r="6455">
          <cell r="B6455">
            <v>2025444300002</v>
          </cell>
          <cell r="BP6455">
            <v>100</v>
          </cell>
        </row>
        <row r="6456">
          <cell r="B6456">
            <v>2024445600067</v>
          </cell>
          <cell r="BP6456">
            <v>100</v>
          </cell>
        </row>
        <row r="6457">
          <cell r="B6457">
            <v>2024445600071</v>
          </cell>
          <cell r="BP6457">
            <v>100</v>
          </cell>
        </row>
        <row r="6458">
          <cell r="B6458">
            <v>2024445600073</v>
          </cell>
          <cell r="BP6458">
            <v>100</v>
          </cell>
        </row>
        <row r="6459">
          <cell r="B6459">
            <v>2024445600076</v>
          </cell>
          <cell r="BP6459">
            <v>100</v>
          </cell>
        </row>
        <row r="6460">
          <cell r="B6460">
            <v>2024445600077</v>
          </cell>
          <cell r="BP6460">
            <v>100</v>
          </cell>
        </row>
        <row r="6461">
          <cell r="B6461">
            <v>2025445600001</v>
          </cell>
          <cell r="BP6461">
            <v>100</v>
          </cell>
        </row>
        <row r="6462">
          <cell r="B6462">
            <v>2024440010070</v>
          </cell>
          <cell r="BP6462">
            <v>100</v>
          </cell>
        </row>
        <row r="6463">
          <cell r="B6463">
            <v>2025440010003</v>
          </cell>
          <cell r="BP6463">
            <v>100</v>
          </cell>
        </row>
        <row r="6464">
          <cell r="B6464">
            <v>2024448470067</v>
          </cell>
          <cell r="BP6464">
            <v>100</v>
          </cell>
        </row>
        <row r="6465">
          <cell r="B6465">
            <v>2024448470102</v>
          </cell>
          <cell r="BP6465">
            <v>100</v>
          </cell>
        </row>
        <row r="6466">
          <cell r="B6466">
            <v>2025448470004</v>
          </cell>
          <cell r="BP6466">
            <v>100</v>
          </cell>
        </row>
        <row r="6467">
          <cell r="B6467">
            <v>2024470300064</v>
          </cell>
          <cell r="BP6467">
            <v>100</v>
          </cell>
        </row>
        <row r="6468">
          <cell r="B6468">
            <v>2025470300002</v>
          </cell>
          <cell r="BP6468">
            <v>100</v>
          </cell>
        </row>
        <row r="6469">
          <cell r="B6469">
            <v>2025470530001</v>
          </cell>
          <cell r="BP6469">
            <v>100</v>
          </cell>
        </row>
        <row r="6470">
          <cell r="B6470">
            <v>2025470580005</v>
          </cell>
          <cell r="BP6470">
            <v>100</v>
          </cell>
        </row>
        <row r="6471">
          <cell r="B6471">
            <v>2025470580001</v>
          </cell>
          <cell r="BP6471">
            <v>100</v>
          </cell>
        </row>
        <row r="6472">
          <cell r="B6472">
            <v>2025470580003</v>
          </cell>
          <cell r="BP6472">
            <v>100</v>
          </cell>
        </row>
        <row r="6473">
          <cell r="B6473">
            <v>2024471610078</v>
          </cell>
          <cell r="BP6473">
            <v>100</v>
          </cell>
        </row>
        <row r="6474">
          <cell r="B6474">
            <v>2025471700003</v>
          </cell>
          <cell r="BP6474">
            <v>100</v>
          </cell>
        </row>
        <row r="6475">
          <cell r="B6475" t="str">
            <v>2025N002750001</v>
          </cell>
          <cell r="BP6475">
            <v>100</v>
          </cell>
        </row>
        <row r="6476">
          <cell r="B6476">
            <v>2025471890020</v>
          </cell>
          <cell r="BP6476">
            <v>100</v>
          </cell>
        </row>
        <row r="6477">
          <cell r="B6477">
            <v>2025471890040</v>
          </cell>
          <cell r="BP6477">
            <v>100</v>
          </cell>
        </row>
        <row r="6478">
          <cell r="B6478" t="str">
            <v>2025M000020001</v>
          </cell>
          <cell r="BP6478">
            <v>100</v>
          </cell>
        </row>
        <row r="6479">
          <cell r="B6479" t="str">
            <v>2025N001390001</v>
          </cell>
          <cell r="BP6479">
            <v>100</v>
          </cell>
        </row>
        <row r="6480">
          <cell r="B6480">
            <v>2015471890001</v>
          </cell>
          <cell r="BP6480">
            <v>100</v>
          </cell>
        </row>
        <row r="6481">
          <cell r="B6481">
            <v>2022471890119</v>
          </cell>
          <cell r="BP6481">
            <v>90</v>
          </cell>
        </row>
        <row r="6482">
          <cell r="B6482">
            <v>2023471890030</v>
          </cell>
          <cell r="BP6482">
            <v>100</v>
          </cell>
        </row>
        <row r="6483">
          <cell r="B6483">
            <v>2024471890018</v>
          </cell>
          <cell r="BP6483">
            <v>100</v>
          </cell>
        </row>
        <row r="6484">
          <cell r="B6484">
            <v>2024471890069</v>
          </cell>
          <cell r="BP6484">
            <v>100</v>
          </cell>
        </row>
        <row r="6485">
          <cell r="B6485">
            <v>2024471890084</v>
          </cell>
          <cell r="BP6485">
            <v>100</v>
          </cell>
        </row>
        <row r="6486">
          <cell r="B6486">
            <v>2024471890096</v>
          </cell>
          <cell r="BP6486">
            <v>100</v>
          </cell>
        </row>
        <row r="6487">
          <cell r="B6487">
            <v>2024471890099</v>
          </cell>
          <cell r="BP6487">
            <v>100</v>
          </cell>
        </row>
        <row r="6488">
          <cell r="B6488">
            <v>2025471890001</v>
          </cell>
          <cell r="BP6488">
            <v>100</v>
          </cell>
        </row>
        <row r="6489">
          <cell r="B6489">
            <v>2025471890002</v>
          </cell>
          <cell r="BP6489">
            <v>100</v>
          </cell>
        </row>
        <row r="6490">
          <cell r="B6490">
            <v>2025471890003</v>
          </cell>
          <cell r="BP6490">
            <v>100</v>
          </cell>
        </row>
        <row r="6491">
          <cell r="B6491">
            <v>2025471890004</v>
          </cell>
          <cell r="BP6491">
            <v>100</v>
          </cell>
        </row>
        <row r="6492">
          <cell r="B6492">
            <v>2025471890005</v>
          </cell>
          <cell r="BP6492">
            <v>100</v>
          </cell>
        </row>
        <row r="6493">
          <cell r="B6493">
            <v>2025471890006</v>
          </cell>
          <cell r="BP6493">
            <v>100</v>
          </cell>
        </row>
        <row r="6494">
          <cell r="B6494">
            <v>2025471890008</v>
          </cell>
          <cell r="BP6494">
            <v>100</v>
          </cell>
        </row>
        <row r="6495">
          <cell r="B6495">
            <v>2025471890009</v>
          </cell>
          <cell r="BP6495">
            <v>100</v>
          </cell>
        </row>
        <row r="6496">
          <cell r="B6496">
            <v>2025471890011</v>
          </cell>
          <cell r="BP6496">
            <v>100</v>
          </cell>
        </row>
        <row r="6497">
          <cell r="B6497">
            <v>2025471890013</v>
          </cell>
          <cell r="BP6497">
            <v>100</v>
          </cell>
        </row>
        <row r="6498">
          <cell r="B6498">
            <v>2025471890015</v>
          </cell>
          <cell r="BP6498">
            <v>100</v>
          </cell>
        </row>
        <row r="6499">
          <cell r="B6499">
            <v>2025471890019</v>
          </cell>
          <cell r="BP6499">
            <v>100</v>
          </cell>
        </row>
        <row r="6500">
          <cell r="B6500">
            <v>2025471890021</v>
          </cell>
          <cell r="BP6500">
            <v>100</v>
          </cell>
        </row>
        <row r="6501">
          <cell r="B6501">
            <v>2025471890022</v>
          </cell>
          <cell r="BP6501">
            <v>100</v>
          </cell>
        </row>
        <row r="6502">
          <cell r="B6502">
            <v>2025471890023</v>
          </cell>
          <cell r="BP6502">
            <v>100</v>
          </cell>
        </row>
        <row r="6503">
          <cell r="B6503">
            <v>2025471890027</v>
          </cell>
          <cell r="BP6503">
            <v>100</v>
          </cell>
        </row>
        <row r="6504">
          <cell r="B6504">
            <v>2025471890028</v>
          </cell>
          <cell r="BP6504">
            <v>100</v>
          </cell>
        </row>
        <row r="6505">
          <cell r="B6505">
            <v>2025471890029</v>
          </cell>
          <cell r="BP6505">
            <v>100</v>
          </cell>
        </row>
        <row r="6506">
          <cell r="B6506">
            <v>2025471890030</v>
          </cell>
          <cell r="BP6506">
            <v>100</v>
          </cell>
        </row>
        <row r="6507">
          <cell r="B6507">
            <v>2025471890033</v>
          </cell>
          <cell r="BP6507">
            <v>100</v>
          </cell>
        </row>
        <row r="6508">
          <cell r="B6508">
            <v>2025471890036</v>
          </cell>
          <cell r="BP6508">
            <v>100</v>
          </cell>
        </row>
        <row r="6509">
          <cell r="B6509">
            <v>2025471890041</v>
          </cell>
          <cell r="BP6509">
            <v>100</v>
          </cell>
        </row>
        <row r="6510">
          <cell r="B6510">
            <v>2025471890031</v>
          </cell>
          <cell r="BP6510">
            <v>100</v>
          </cell>
        </row>
        <row r="6511">
          <cell r="B6511">
            <v>2025472050001</v>
          </cell>
          <cell r="BP6511">
            <v>100</v>
          </cell>
        </row>
        <row r="6512">
          <cell r="B6512">
            <v>2025472680001</v>
          </cell>
          <cell r="BP6512">
            <v>100</v>
          </cell>
        </row>
        <row r="6513">
          <cell r="B6513">
            <v>2024472880056</v>
          </cell>
          <cell r="BP6513">
            <v>100</v>
          </cell>
        </row>
        <row r="6514">
          <cell r="B6514">
            <v>2025472880005</v>
          </cell>
          <cell r="BP6514">
            <v>100</v>
          </cell>
        </row>
        <row r="6515">
          <cell r="B6515">
            <v>2025473180001</v>
          </cell>
          <cell r="BP6515">
            <v>100</v>
          </cell>
        </row>
        <row r="6516">
          <cell r="B6516" t="str">
            <v>2024N002750003</v>
          </cell>
          <cell r="BP6516">
            <v>100</v>
          </cell>
        </row>
        <row r="6517">
          <cell r="B6517">
            <v>2020000100010</v>
          </cell>
          <cell r="BP6517">
            <v>100</v>
          </cell>
        </row>
        <row r="6518">
          <cell r="B6518">
            <v>2021000020069</v>
          </cell>
          <cell r="BP6518">
            <v>100</v>
          </cell>
        </row>
        <row r="6519">
          <cell r="B6519">
            <v>2021000020087</v>
          </cell>
          <cell r="BP6519">
            <v>100</v>
          </cell>
        </row>
        <row r="6520">
          <cell r="B6520">
            <v>2021002470080</v>
          </cell>
          <cell r="BP6520">
            <v>100</v>
          </cell>
        </row>
        <row r="6521">
          <cell r="B6521">
            <v>2023000020029</v>
          </cell>
          <cell r="BP6521">
            <v>100</v>
          </cell>
        </row>
        <row r="6522">
          <cell r="B6522">
            <v>2025002470013</v>
          </cell>
          <cell r="BP6522">
            <v>100</v>
          </cell>
        </row>
        <row r="6523">
          <cell r="B6523">
            <v>2025002470004</v>
          </cell>
          <cell r="BP6523">
            <v>100</v>
          </cell>
        </row>
        <row r="6524">
          <cell r="B6524">
            <v>2025002470011</v>
          </cell>
          <cell r="BP6524">
            <v>100</v>
          </cell>
        </row>
        <row r="6525">
          <cell r="B6525">
            <v>2025002470012</v>
          </cell>
          <cell r="BP6525">
            <v>89</v>
          </cell>
        </row>
        <row r="6526">
          <cell r="B6526">
            <v>2025002470017</v>
          </cell>
          <cell r="BP6526">
            <v>100</v>
          </cell>
        </row>
        <row r="6527">
          <cell r="B6527">
            <v>2025002470029</v>
          </cell>
          <cell r="BP6527">
            <v>5.6</v>
          </cell>
        </row>
        <row r="6528">
          <cell r="B6528">
            <v>2025475410002</v>
          </cell>
          <cell r="BP6528">
            <v>100</v>
          </cell>
        </row>
        <row r="6529">
          <cell r="B6529">
            <v>2025475410003</v>
          </cell>
          <cell r="BP6529">
            <v>89</v>
          </cell>
        </row>
        <row r="6530">
          <cell r="B6530">
            <v>2024475450116</v>
          </cell>
          <cell r="BP6530">
            <v>90</v>
          </cell>
        </row>
        <row r="6531">
          <cell r="B6531">
            <v>2025475450002</v>
          </cell>
          <cell r="BP6531">
            <v>90</v>
          </cell>
        </row>
        <row r="6532">
          <cell r="B6532">
            <v>2025475510003</v>
          </cell>
          <cell r="BP6532">
            <v>99.8</v>
          </cell>
        </row>
        <row r="6533">
          <cell r="B6533">
            <v>2023475550004</v>
          </cell>
          <cell r="BP6533">
            <v>89</v>
          </cell>
        </row>
        <row r="6534">
          <cell r="B6534">
            <v>2023475700016</v>
          </cell>
          <cell r="BP6534">
            <v>100</v>
          </cell>
        </row>
        <row r="6535">
          <cell r="B6535">
            <v>2025476600002</v>
          </cell>
          <cell r="BP6535">
            <v>100</v>
          </cell>
        </row>
        <row r="6536">
          <cell r="B6536">
            <v>2025476600003</v>
          </cell>
          <cell r="BP6536">
            <v>100</v>
          </cell>
        </row>
        <row r="6537">
          <cell r="B6537">
            <v>2025476750003</v>
          </cell>
          <cell r="BP6537">
            <v>100</v>
          </cell>
        </row>
        <row r="6538">
          <cell r="B6538">
            <v>2025477030001</v>
          </cell>
          <cell r="BP6538">
            <v>89</v>
          </cell>
        </row>
        <row r="6539">
          <cell r="B6539">
            <v>2025477030003</v>
          </cell>
          <cell r="BP6539">
            <v>100</v>
          </cell>
        </row>
        <row r="6540">
          <cell r="B6540">
            <v>2025470010007</v>
          </cell>
          <cell r="BP6540">
            <v>100</v>
          </cell>
        </row>
        <row r="6541">
          <cell r="B6541">
            <v>2025470010005</v>
          </cell>
          <cell r="BP6541">
            <v>100</v>
          </cell>
        </row>
        <row r="6542">
          <cell r="B6542">
            <v>2025477450001</v>
          </cell>
          <cell r="BP6542">
            <v>100</v>
          </cell>
        </row>
        <row r="6543">
          <cell r="B6543">
            <v>2025477980002</v>
          </cell>
          <cell r="BP6543">
            <v>100</v>
          </cell>
        </row>
        <row r="6544">
          <cell r="B6544">
            <v>2025479800005</v>
          </cell>
          <cell r="BP6544">
            <v>100</v>
          </cell>
        </row>
        <row r="6545">
          <cell r="B6545">
            <v>2025479800002</v>
          </cell>
          <cell r="BP6545">
            <v>89</v>
          </cell>
        </row>
        <row r="6546">
          <cell r="B6546">
            <v>2025479800004</v>
          </cell>
          <cell r="BP6546">
            <v>89</v>
          </cell>
        </row>
        <row r="6547">
          <cell r="B6547" t="str">
            <v>2025N006740003</v>
          </cell>
          <cell r="BP6547">
            <v>100</v>
          </cell>
        </row>
        <row r="6548">
          <cell r="B6548" t="str">
            <v>2025N005040001</v>
          </cell>
          <cell r="BP6548">
            <v>100</v>
          </cell>
        </row>
        <row r="6549">
          <cell r="B6549">
            <v>2023501240003</v>
          </cell>
          <cell r="BP6549">
            <v>100</v>
          </cell>
        </row>
        <row r="6550">
          <cell r="B6550">
            <v>2024501240086</v>
          </cell>
          <cell r="BP6550">
            <v>100</v>
          </cell>
        </row>
        <row r="6551">
          <cell r="B6551">
            <v>2025501240005</v>
          </cell>
          <cell r="BP6551">
            <v>100</v>
          </cell>
        </row>
        <row r="6552">
          <cell r="B6552" t="str">
            <v>2024N000470002</v>
          </cell>
          <cell r="BP6552">
            <v>100</v>
          </cell>
        </row>
        <row r="6553">
          <cell r="B6553">
            <v>2024501500003</v>
          </cell>
          <cell r="BP6553">
            <v>100</v>
          </cell>
        </row>
        <row r="6554">
          <cell r="B6554">
            <v>2024501500073</v>
          </cell>
          <cell r="BP6554">
            <v>100</v>
          </cell>
        </row>
        <row r="6555">
          <cell r="B6555">
            <v>2023501500011</v>
          </cell>
          <cell r="BP6555">
            <v>99.5</v>
          </cell>
        </row>
        <row r="6556">
          <cell r="B6556">
            <v>2024501500021</v>
          </cell>
          <cell r="BP6556">
            <v>100</v>
          </cell>
        </row>
        <row r="6557">
          <cell r="B6557">
            <v>2024501500067</v>
          </cell>
          <cell r="BP6557">
            <v>100</v>
          </cell>
        </row>
        <row r="6558">
          <cell r="B6558">
            <v>2025502700001</v>
          </cell>
          <cell r="BP6558">
            <v>100</v>
          </cell>
        </row>
        <row r="6559">
          <cell r="B6559">
            <v>2023503180022</v>
          </cell>
          <cell r="BP6559">
            <v>100</v>
          </cell>
        </row>
        <row r="6560">
          <cell r="B6560">
            <v>2024503180079</v>
          </cell>
          <cell r="BP6560">
            <v>83.8</v>
          </cell>
        </row>
        <row r="6561">
          <cell r="B6561">
            <v>2024503180080</v>
          </cell>
          <cell r="BP6561">
            <v>100</v>
          </cell>
        </row>
        <row r="6562">
          <cell r="B6562">
            <v>2024503500095</v>
          </cell>
          <cell r="BP6562">
            <v>100</v>
          </cell>
        </row>
        <row r="6563">
          <cell r="B6563">
            <v>2023503700006</v>
          </cell>
          <cell r="BP6563">
            <v>100</v>
          </cell>
        </row>
        <row r="6564">
          <cell r="B6564">
            <v>2023503250013</v>
          </cell>
          <cell r="BP6564">
            <v>90</v>
          </cell>
        </row>
        <row r="6565">
          <cell r="B6565">
            <v>20201301011395</v>
          </cell>
          <cell r="BP6565">
            <v>100</v>
          </cell>
        </row>
        <row r="6566">
          <cell r="B6566">
            <v>2021005500214</v>
          </cell>
          <cell r="BP6566">
            <v>100</v>
          </cell>
        </row>
        <row r="6567">
          <cell r="B6567">
            <v>2021005500276</v>
          </cell>
          <cell r="BP6567">
            <v>0</v>
          </cell>
        </row>
        <row r="6568">
          <cell r="B6568" t="str">
            <v>2024M001690001</v>
          </cell>
          <cell r="BP6568">
            <v>89</v>
          </cell>
        </row>
        <row r="6569">
          <cell r="B6569" t="str">
            <v>2025N006470001</v>
          </cell>
          <cell r="BP6569">
            <v>100</v>
          </cell>
        </row>
        <row r="6570">
          <cell r="B6570" t="str">
            <v>2024N000060004</v>
          </cell>
          <cell r="BP6570">
            <v>56</v>
          </cell>
        </row>
        <row r="6571">
          <cell r="B6571">
            <v>2022005500004</v>
          </cell>
          <cell r="BP6571">
            <v>100</v>
          </cell>
        </row>
        <row r="6572">
          <cell r="B6572">
            <v>2022005500009</v>
          </cell>
          <cell r="BP6572">
            <v>100</v>
          </cell>
        </row>
        <row r="6573">
          <cell r="B6573">
            <v>2022005500065</v>
          </cell>
          <cell r="BP6573">
            <v>100</v>
          </cell>
        </row>
        <row r="6574">
          <cell r="B6574">
            <v>2022005500087</v>
          </cell>
          <cell r="BP6574">
            <v>100</v>
          </cell>
        </row>
        <row r="6575">
          <cell r="B6575">
            <v>2022005500097</v>
          </cell>
          <cell r="BP6575">
            <v>100</v>
          </cell>
        </row>
        <row r="6576">
          <cell r="B6576">
            <v>2022005500316</v>
          </cell>
          <cell r="BP6576">
            <v>100</v>
          </cell>
        </row>
        <row r="6577">
          <cell r="B6577">
            <v>2023005500267</v>
          </cell>
          <cell r="BP6577">
            <v>100</v>
          </cell>
        </row>
        <row r="6578">
          <cell r="B6578">
            <v>2024005500263</v>
          </cell>
          <cell r="BP6578">
            <v>100</v>
          </cell>
        </row>
        <row r="6579">
          <cell r="B6579">
            <v>2024005500295</v>
          </cell>
          <cell r="BP6579">
            <v>100</v>
          </cell>
        </row>
        <row r="6580">
          <cell r="B6580">
            <v>2022005500236</v>
          </cell>
          <cell r="BP6580">
            <v>100</v>
          </cell>
        </row>
        <row r="6581">
          <cell r="B6581">
            <v>2024005500298</v>
          </cell>
          <cell r="BP6581">
            <v>100</v>
          </cell>
        </row>
        <row r="6582">
          <cell r="B6582">
            <v>2019000100060</v>
          </cell>
          <cell r="BP6582">
            <v>100</v>
          </cell>
        </row>
        <row r="6583">
          <cell r="B6583">
            <v>2024504500076</v>
          </cell>
          <cell r="BP6583">
            <v>100</v>
          </cell>
        </row>
        <row r="6584">
          <cell r="B6584" t="str">
            <v>2024N005640001</v>
          </cell>
          <cell r="BP6584">
            <v>100</v>
          </cell>
        </row>
        <row r="6585">
          <cell r="B6585">
            <v>2024505680016</v>
          </cell>
          <cell r="BP6585">
            <v>100</v>
          </cell>
        </row>
        <row r="6586">
          <cell r="B6586">
            <v>2024505680079</v>
          </cell>
          <cell r="BP6586">
            <v>100</v>
          </cell>
        </row>
        <row r="6587">
          <cell r="B6587">
            <v>2025505680021</v>
          </cell>
          <cell r="BP6587">
            <v>100</v>
          </cell>
        </row>
        <row r="6588">
          <cell r="B6588">
            <v>2024505680011</v>
          </cell>
          <cell r="BP6588">
            <v>100</v>
          </cell>
        </row>
        <row r="6589">
          <cell r="B6589">
            <v>2023505680034</v>
          </cell>
          <cell r="BP6589">
            <v>100</v>
          </cell>
        </row>
        <row r="6590">
          <cell r="B6590">
            <v>2024505680015</v>
          </cell>
          <cell r="BP6590">
            <v>100</v>
          </cell>
        </row>
        <row r="6591">
          <cell r="B6591">
            <v>2019505680017</v>
          </cell>
          <cell r="BP6591">
            <v>100</v>
          </cell>
        </row>
        <row r="6592">
          <cell r="B6592">
            <v>2019505680018</v>
          </cell>
          <cell r="BP6592">
            <v>100</v>
          </cell>
        </row>
        <row r="6593">
          <cell r="B6593">
            <v>2022505680005</v>
          </cell>
          <cell r="BP6593">
            <v>100</v>
          </cell>
        </row>
        <row r="6594">
          <cell r="B6594">
            <v>2022505680017</v>
          </cell>
          <cell r="BP6594">
            <v>100</v>
          </cell>
        </row>
        <row r="6595">
          <cell r="B6595">
            <v>2023505680025</v>
          </cell>
          <cell r="BP6595">
            <v>100</v>
          </cell>
        </row>
        <row r="6596">
          <cell r="B6596">
            <v>2024505770056</v>
          </cell>
          <cell r="BP6596">
            <v>90</v>
          </cell>
        </row>
        <row r="6597">
          <cell r="B6597">
            <v>2024505730077</v>
          </cell>
          <cell r="BP6597">
            <v>100</v>
          </cell>
        </row>
        <row r="6598">
          <cell r="B6598">
            <v>2024505730076</v>
          </cell>
          <cell r="BP6598">
            <v>100</v>
          </cell>
        </row>
        <row r="6599">
          <cell r="B6599">
            <v>2025505900002</v>
          </cell>
          <cell r="BP6599">
            <v>100</v>
          </cell>
        </row>
        <row r="6600">
          <cell r="B6600">
            <v>2024506800137</v>
          </cell>
          <cell r="BP6600">
            <v>100</v>
          </cell>
        </row>
        <row r="6601">
          <cell r="B6601">
            <v>2024506800136</v>
          </cell>
          <cell r="BP6601">
            <v>89</v>
          </cell>
        </row>
        <row r="6602">
          <cell r="B6602">
            <v>2024502230076</v>
          </cell>
          <cell r="BP6602">
            <v>100</v>
          </cell>
        </row>
        <row r="6603">
          <cell r="B6603">
            <v>2025502230001</v>
          </cell>
          <cell r="BP6603">
            <v>100</v>
          </cell>
        </row>
        <row r="6604">
          <cell r="B6604">
            <v>2025502230002</v>
          </cell>
          <cell r="BP6604">
            <v>100</v>
          </cell>
        </row>
        <row r="6605">
          <cell r="B6605">
            <v>2025502230003</v>
          </cell>
          <cell r="BP6605">
            <v>89.1</v>
          </cell>
        </row>
        <row r="6606">
          <cell r="B6606">
            <v>2024506890076</v>
          </cell>
          <cell r="BP6606">
            <v>100</v>
          </cell>
        </row>
        <row r="6607">
          <cell r="B6607">
            <v>2019500010003</v>
          </cell>
          <cell r="BP6607">
            <v>100</v>
          </cell>
        </row>
        <row r="6608">
          <cell r="B6608">
            <v>2024507110034</v>
          </cell>
          <cell r="BP6608">
            <v>100</v>
          </cell>
        </row>
        <row r="6609">
          <cell r="B6609">
            <v>20202401060007</v>
          </cell>
          <cell r="BP6609">
            <v>0</v>
          </cell>
        </row>
        <row r="6610">
          <cell r="B6610">
            <v>20232401060039</v>
          </cell>
          <cell r="BP6610">
            <v>100</v>
          </cell>
        </row>
        <row r="6611">
          <cell r="B6611">
            <v>20242401060019</v>
          </cell>
          <cell r="BP6611">
            <v>100</v>
          </cell>
        </row>
        <row r="6612">
          <cell r="B6612">
            <v>20232401060004</v>
          </cell>
          <cell r="BP6612">
            <v>56</v>
          </cell>
        </row>
        <row r="6613">
          <cell r="B6613">
            <v>20202401060008</v>
          </cell>
          <cell r="BP6613">
            <v>100</v>
          </cell>
        </row>
        <row r="6614">
          <cell r="B6614">
            <v>2021002130270</v>
          </cell>
          <cell r="BP6614">
            <v>92.6</v>
          </cell>
        </row>
        <row r="6615">
          <cell r="B6615">
            <v>20223201010031</v>
          </cell>
          <cell r="BP6615">
            <v>100</v>
          </cell>
        </row>
        <row r="6616">
          <cell r="B6616">
            <v>20223201010022</v>
          </cell>
          <cell r="BP6616">
            <v>0</v>
          </cell>
        </row>
        <row r="6617">
          <cell r="B6617">
            <v>2025520190001</v>
          </cell>
          <cell r="BP6617">
            <v>100</v>
          </cell>
        </row>
        <row r="6618">
          <cell r="B6618">
            <v>2025520190002</v>
          </cell>
          <cell r="BP6618">
            <v>100</v>
          </cell>
        </row>
        <row r="6619">
          <cell r="B6619">
            <v>2023520360024</v>
          </cell>
          <cell r="BP6619">
            <v>100</v>
          </cell>
        </row>
        <row r="6620">
          <cell r="B6620">
            <v>2024520510025</v>
          </cell>
          <cell r="BP6620">
            <v>100</v>
          </cell>
        </row>
        <row r="6621">
          <cell r="B6621">
            <v>2025520510001</v>
          </cell>
          <cell r="BP6621">
            <v>100</v>
          </cell>
        </row>
        <row r="6622">
          <cell r="B6622">
            <v>2023520510028</v>
          </cell>
          <cell r="BP6622">
            <v>100</v>
          </cell>
        </row>
        <row r="6623">
          <cell r="B6623" t="str">
            <v>2023M002450001</v>
          </cell>
          <cell r="BP6623">
            <v>100</v>
          </cell>
        </row>
        <row r="6624">
          <cell r="B6624" t="str">
            <v>2023I00010054</v>
          </cell>
          <cell r="BP6624">
            <v>100</v>
          </cell>
        </row>
        <row r="6625">
          <cell r="B6625">
            <v>2024003520173</v>
          </cell>
          <cell r="BP6625">
            <v>100</v>
          </cell>
        </row>
        <row r="6626">
          <cell r="B6626">
            <v>2025521100002</v>
          </cell>
          <cell r="BP6626">
            <v>100</v>
          </cell>
        </row>
        <row r="6627">
          <cell r="B6627">
            <v>2024522400022</v>
          </cell>
          <cell r="BP6627">
            <v>100</v>
          </cell>
        </row>
        <row r="6628">
          <cell r="B6628">
            <v>2023522400023</v>
          </cell>
          <cell r="BP6628">
            <v>100</v>
          </cell>
        </row>
        <row r="6629">
          <cell r="B6629">
            <v>2025522400001</v>
          </cell>
          <cell r="BP6629">
            <v>89</v>
          </cell>
        </row>
        <row r="6630">
          <cell r="B6630">
            <v>2025522400002</v>
          </cell>
          <cell r="BP6630">
            <v>100</v>
          </cell>
        </row>
        <row r="6631">
          <cell r="B6631">
            <v>2025522030001</v>
          </cell>
          <cell r="BP6631">
            <v>100</v>
          </cell>
        </row>
        <row r="6632">
          <cell r="B6632">
            <v>2025522030003</v>
          </cell>
          <cell r="BP6632">
            <v>100</v>
          </cell>
        </row>
        <row r="6633">
          <cell r="B6633">
            <v>2025522030002</v>
          </cell>
          <cell r="BP6633">
            <v>100</v>
          </cell>
        </row>
        <row r="6634">
          <cell r="B6634">
            <v>2024522100018</v>
          </cell>
          <cell r="BP6634">
            <v>100</v>
          </cell>
        </row>
        <row r="6635">
          <cell r="B6635">
            <v>2025522100002</v>
          </cell>
          <cell r="BP6635">
            <v>100</v>
          </cell>
        </row>
        <row r="6636">
          <cell r="B6636">
            <v>2024522150016</v>
          </cell>
          <cell r="BP6636">
            <v>100</v>
          </cell>
        </row>
        <row r="6637">
          <cell r="B6637">
            <v>2025522500002</v>
          </cell>
          <cell r="BP6637">
            <v>100</v>
          </cell>
        </row>
        <row r="6638">
          <cell r="B6638">
            <v>2025522560001</v>
          </cell>
          <cell r="BP6638">
            <v>89</v>
          </cell>
        </row>
        <row r="6639">
          <cell r="B6639">
            <v>20231301010232</v>
          </cell>
          <cell r="BP6639">
            <v>100</v>
          </cell>
        </row>
        <row r="6640">
          <cell r="B6640">
            <v>2025522580002</v>
          </cell>
          <cell r="BP6640">
            <v>89</v>
          </cell>
        </row>
        <row r="6641">
          <cell r="B6641">
            <v>2025522600002</v>
          </cell>
          <cell r="BP6641">
            <v>100</v>
          </cell>
        </row>
        <row r="6642">
          <cell r="B6642">
            <v>2023523200035</v>
          </cell>
          <cell r="BP6642">
            <v>100</v>
          </cell>
        </row>
        <row r="6643">
          <cell r="B6643">
            <v>2024523200020</v>
          </cell>
          <cell r="BP6643">
            <v>100</v>
          </cell>
        </row>
        <row r="6644">
          <cell r="B6644">
            <v>2025523230001</v>
          </cell>
          <cell r="BP6644">
            <v>100</v>
          </cell>
        </row>
        <row r="6645">
          <cell r="B6645">
            <v>2025523230002</v>
          </cell>
          <cell r="BP6645">
            <v>100</v>
          </cell>
        </row>
        <row r="6646">
          <cell r="B6646">
            <v>2025523540001</v>
          </cell>
          <cell r="BP6646">
            <v>100</v>
          </cell>
        </row>
        <row r="6647">
          <cell r="B6647">
            <v>2025523540002</v>
          </cell>
          <cell r="BP6647">
            <v>100</v>
          </cell>
        </row>
        <row r="6648">
          <cell r="B6648">
            <v>2023523560080</v>
          </cell>
          <cell r="BP6648">
            <v>100</v>
          </cell>
        </row>
        <row r="6649">
          <cell r="B6649">
            <v>2023523780021</v>
          </cell>
          <cell r="BP6649">
            <v>100</v>
          </cell>
        </row>
        <row r="6650">
          <cell r="B6650">
            <v>2025523900002</v>
          </cell>
          <cell r="BP6650">
            <v>100</v>
          </cell>
        </row>
        <row r="6651">
          <cell r="B6651">
            <v>2024524110011</v>
          </cell>
          <cell r="BP6651">
            <v>100</v>
          </cell>
        </row>
        <row r="6652">
          <cell r="B6652">
            <v>20181301010529</v>
          </cell>
          <cell r="BP6652">
            <v>93.1</v>
          </cell>
        </row>
        <row r="6653">
          <cell r="B6653">
            <v>2023524180016</v>
          </cell>
          <cell r="BP6653">
            <v>100</v>
          </cell>
        </row>
        <row r="6654">
          <cell r="B6654">
            <v>2024524180011</v>
          </cell>
          <cell r="BP6654">
            <v>100</v>
          </cell>
        </row>
        <row r="6655">
          <cell r="B6655">
            <v>2025524180001</v>
          </cell>
          <cell r="BP6655">
            <v>100</v>
          </cell>
        </row>
        <row r="6656">
          <cell r="B6656">
            <v>2024524270013</v>
          </cell>
          <cell r="BP6656">
            <v>100</v>
          </cell>
        </row>
        <row r="6657">
          <cell r="B6657">
            <v>2024524270012</v>
          </cell>
          <cell r="BP6657">
            <v>100</v>
          </cell>
        </row>
        <row r="6658">
          <cell r="B6658">
            <v>2017000100033</v>
          </cell>
          <cell r="BP6658">
            <v>100</v>
          </cell>
        </row>
        <row r="6659">
          <cell r="B6659">
            <v>2019000030076</v>
          </cell>
          <cell r="BP6659">
            <v>100</v>
          </cell>
        </row>
        <row r="6660">
          <cell r="B6660">
            <v>2020000030100</v>
          </cell>
          <cell r="BP6660">
            <v>100</v>
          </cell>
        </row>
        <row r="6661">
          <cell r="B6661">
            <v>2020000100688</v>
          </cell>
          <cell r="BP6661">
            <v>100</v>
          </cell>
        </row>
        <row r="6662">
          <cell r="B6662">
            <v>2021000030040</v>
          </cell>
          <cell r="BP6662">
            <v>99.3</v>
          </cell>
        </row>
        <row r="6663">
          <cell r="B6663">
            <v>2018000030215</v>
          </cell>
          <cell r="BP6663">
            <v>100</v>
          </cell>
        </row>
        <row r="6664">
          <cell r="B6664">
            <v>2024003520091</v>
          </cell>
          <cell r="BP6664">
            <v>100</v>
          </cell>
        </row>
        <row r="6665">
          <cell r="B6665">
            <v>2021003520335</v>
          </cell>
          <cell r="BP6665">
            <v>100</v>
          </cell>
        </row>
        <row r="6666">
          <cell r="B6666">
            <v>2019000030124</v>
          </cell>
          <cell r="BP6666">
            <v>100</v>
          </cell>
        </row>
        <row r="6667">
          <cell r="B6667">
            <v>2022003520044</v>
          </cell>
          <cell r="BP6667">
            <v>100</v>
          </cell>
        </row>
        <row r="6668">
          <cell r="B6668">
            <v>2018000030026</v>
          </cell>
          <cell r="BP6668">
            <v>100</v>
          </cell>
        </row>
        <row r="6669">
          <cell r="B6669">
            <v>2023003520032</v>
          </cell>
          <cell r="BP6669">
            <v>100</v>
          </cell>
        </row>
        <row r="6670">
          <cell r="B6670">
            <v>2023003520037</v>
          </cell>
          <cell r="BP6670">
            <v>100</v>
          </cell>
        </row>
        <row r="6671">
          <cell r="B6671">
            <v>2019000030123</v>
          </cell>
          <cell r="BP6671">
            <v>100</v>
          </cell>
        </row>
        <row r="6672">
          <cell r="B6672">
            <v>2024524900017</v>
          </cell>
          <cell r="BP6672">
            <v>100</v>
          </cell>
        </row>
        <row r="6673">
          <cell r="B6673">
            <v>2019520010034</v>
          </cell>
          <cell r="BP6673">
            <v>100</v>
          </cell>
        </row>
        <row r="6674">
          <cell r="B6674">
            <v>2025525400002</v>
          </cell>
          <cell r="BP6674">
            <v>100</v>
          </cell>
        </row>
        <row r="6675">
          <cell r="B6675">
            <v>2025525400003</v>
          </cell>
          <cell r="BP6675">
            <v>90</v>
          </cell>
        </row>
        <row r="6676">
          <cell r="B6676">
            <v>2025525400001</v>
          </cell>
          <cell r="BP6676">
            <v>100</v>
          </cell>
        </row>
        <row r="6677">
          <cell r="B6677">
            <v>2025525600002</v>
          </cell>
          <cell r="BP6677">
            <v>100</v>
          </cell>
        </row>
        <row r="6678">
          <cell r="B6678">
            <v>2025525650004</v>
          </cell>
          <cell r="BP6678">
            <v>100</v>
          </cell>
        </row>
        <row r="6679">
          <cell r="B6679">
            <v>2024525730012</v>
          </cell>
          <cell r="BP6679">
            <v>100</v>
          </cell>
        </row>
        <row r="6680">
          <cell r="B6680">
            <v>2024526120075</v>
          </cell>
          <cell r="BP6680">
            <v>100</v>
          </cell>
        </row>
        <row r="6681">
          <cell r="B6681">
            <v>2025526120002</v>
          </cell>
          <cell r="BP6681">
            <v>100</v>
          </cell>
        </row>
        <row r="6682">
          <cell r="B6682">
            <v>2023526120059</v>
          </cell>
          <cell r="BP6682">
            <v>100</v>
          </cell>
        </row>
        <row r="6683">
          <cell r="B6683">
            <v>2024526210016</v>
          </cell>
          <cell r="BP6683">
            <v>100</v>
          </cell>
        </row>
        <row r="6684">
          <cell r="B6684">
            <v>2025526210001</v>
          </cell>
          <cell r="BP6684">
            <v>100</v>
          </cell>
        </row>
        <row r="6685">
          <cell r="B6685">
            <v>2025526850002</v>
          </cell>
          <cell r="BP6685">
            <v>100</v>
          </cell>
        </row>
        <row r="6686">
          <cell r="B6686">
            <v>2024526850050</v>
          </cell>
          <cell r="BP6686">
            <v>100</v>
          </cell>
        </row>
        <row r="6687">
          <cell r="B6687">
            <v>2025526940003</v>
          </cell>
          <cell r="BP6687">
            <v>100</v>
          </cell>
        </row>
        <row r="6688">
          <cell r="B6688">
            <v>2024526830024</v>
          </cell>
          <cell r="BP6688">
            <v>100</v>
          </cell>
        </row>
        <row r="6689">
          <cell r="B6689">
            <v>2025526830001</v>
          </cell>
          <cell r="BP6689">
            <v>100</v>
          </cell>
        </row>
        <row r="6690">
          <cell r="B6690">
            <v>20211301011496</v>
          </cell>
          <cell r="BP6690">
            <v>100</v>
          </cell>
        </row>
        <row r="6691">
          <cell r="B6691">
            <v>2024526990051</v>
          </cell>
          <cell r="BP6691">
            <v>100</v>
          </cell>
        </row>
        <row r="6692">
          <cell r="B6692">
            <v>2023527860019</v>
          </cell>
          <cell r="BP6692">
            <v>100</v>
          </cell>
        </row>
        <row r="6693">
          <cell r="B6693">
            <v>20201301012111</v>
          </cell>
          <cell r="BP6693">
            <v>100</v>
          </cell>
        </row>
        <row r="6694">
          <cell r="B6694" t="str">
            <v>2025N004310001</v>
          </cell>
          <cell r="BP6694">
            <v>100</v>
          </cell>
        </row>
        <row r="6695">
          <cell r="B6695">
            <v>2025528350006</v>
          </cell>
          <cell r="BP6695">
            <v>100</v>
          </cell>
        </row>
        <row r="6696">
          <cell r="B6696">
            <v>2024528350063</v>
          </cell>
          <cell r="BP6696">
            <v>100</v>
          </cell>
        </row>
        <row r="6697">
          <cell r="B6697">
            <v>2025528380002</v>
          </cell>
          <cell r="BP6697">
            <v>100</v>
          </cell>
        </row>
        <row r="6698">
          <cell r="B6698">
            <v>2023528380022</v>
          </cell>
          <cell r="BP6698">
            <v>100</v>
          </cell>
        </row>
        <row r="6699">
          <cell r="B6699">
            <v>2025528380001</v>
          </cell>
          <cell r="BP6699">
            <v>89</v>
          </cell>
        </row>
        <row r="6700">
          <cell r="B6700">
            <v>2025528850001</v>
          </cell>
          <cell r="BP6700">
            <v>100</v>
          </cell>
        </row>
        <row r="6701">
          <cell r="B6701">
            <v>2025540030001</v>
          </cell>
          <cell r="BP6701">
            <v>100</v>
          </cell>
        </row>
        <row r="6702">
          <cell r="B6702">
            <v>2024540990003</v>
          </cell>
          <cell r="BP6702">
            <v>100</v>
          </cell>
        </row>
        <row r="6703">
          <cell r="B6703">
            <v>2025540990005</v>
          </cell>
          <cell r="BP6703">
            <v>100</v>
          </cell>
        </row>
        <row r="6704">
          <cell r="B6704">
            <v>2023541280033</v>
          </cell>
          <cell r="BP6704">
            <v>100</v>
          </cell>
        </row>
        <row r="6705">
          <cell r="B6705">
            <v>2025541280001</v>
          </cell>
          <cell r="BP6705">
            <v>100</v>
          </cell>
        </row>
        <row r="6706">
          <cell r="B6706">
            <v>2025541250001</v>
          </cell>
          <cell r="BP6706">
            <v>100</v>
          </cell>
        </row>
        <row r="6707">
          <cell r="B6707">
            <v>2025541720001</v>
          </cell>
          <cell r="BP6707">
            <v>100</v>
          </cell>
        </row>
        <row r="6708">
          <cell r="B6708">
            <v>2024541740060</v>
          </cell>
          <cell r="BP6708">
            <v>89</v>
          </cell>
        </row>
        <row r="6709">
          <cell r="B6709">
            <v>2020540010262</v>
          </cell>
          <cell r="BP6709">
            <v>100</v>
          </cell>
        </row>
        <row r="6710">
          <cell r="B6710">
            <v>2024542230037</v>
          </cell>
          <cell r="BP6710">
            <v>90</v>
          </cell>
        </row>
        <row r="6711">
          <cell r="B6711">
            <v>2024542230038</v>
          </cell>
          <cell r="BP6711">
            <v>90</v>
          </cell>
        </row>
        <row r="6712">
          <cell r="B6712">
            <v>2024542390036</v>
          </cell>
          <cell r="BP6712">
            <v>100</v>
          </cell>
        </row>
        <row r="6713">
          <cell r="B6713">
            <v>2024542450046</v>
          </cell>
          <cell r="BP6713">
            <v>89</v>
          </cell>
        </row>
        <row r="6714">
          <cell r="B6714">
            <v>2025542450002</v>
          </cell>
          <cell r="BP6714">
            <v>100</v>
          </cell>
        </row>
        <row r="6715">
          <cell r="B6715">
            <v>2025542500002</v>
          </cell>
          <cell r="BP6715">
            <v>100</v>
          </cell>
        </row>
        <row r="6716">
          <cell r="B6716">
            <v>2023542610041</v>
          </cell>
          <cell r="BP6716">
            <v>100</v>
          </cell>
        </row>
        <row r="6717">
          <cell r="B6717">
            <v>2025542610001</v>
          </cell>
          <cell r="BP6717">
            <v>90</v>
          </cell>
        </row>
        <row r="6718">
          <cell r="B6718">
            <v>2025543440001</v>
          </cell>
          <cell r="BP6718">
            <v>100</v>
          </cell>
        </row>
        <row r="6719">
          <cell r="B6719" t="str">
            <v>2025Rrom010003</v>
          </cell>
          <cell r="BP6719">
            <v>100</v>
          </cell>
        </row>
        <row r="6720">
          <cell r="B6720">
            <v>2024543850015</v>
          </cell>
          <cell r="BP6720">
            <v>100</v>
          </cell>
        </row>
        <row r="6721">
          <cell r="B6721">
            <v>2025543770003</v>
          </cell>
          <cell r="BP6721">
            <v>100</v>
          </cell>
        </row>
        <row r="6722">
          <cell r="B6722">
            <v>2025544800002</v>
          </cell>
          <cell r="BP6722">
            <v>100</v>
          </cell>
        </row>
        <row r="6723">
          <cell r="B6723">
            <v>2021000100431</v>
          </cell>
          <cell r="BP6723">
            <v>100</v>
          </cell>
        </row>
        <row r="6724">
          <cell r="B6724">
            <v>2017000050013</v>
          </cell>
          <cell r="BP6724">
            <v>100</v>
          </cell>
        </row>
        <row r="6725">
          <cell r="B6725">
            <v>2017000050041</v>
          </cell>
          <cell r="BP6725">
            <v>100</v>
          </cell>
        </row>
        <row r="6726">
          <cell r="B6726">
            <v>2019004540035</v>
          </cell>
          <cell r="BP6726">
            <v>100</v>
          </cell>
        </row>
        <row r="6727">
          <cell r="B6727">
            <v>20201301010551</v>
          </cell>
          <cell r="BP6727">
            <v>100</v>
          </cell>
        </row>
        <row r="6728">
          <cell r="B6728">
            <v>2024004540006</v>
          </cell>
          <cell r="BP6728">
            <v>100</v>
          </cell>
        </row>
        <row r="6729">
          <cell r="B6729">
            <v>2024004540096</v>
          </cell>
          <cell r="BP6729">
            <v>100</v>
          </cell>
        </row>
        <row r="6730">
          <cell r="B6730">
            <v>2024004540104</v>
          </cell>
          <cell r="BP6730">
            <v>100</v>
          </cell>
        </row>
        <row r="6731">
          <cell r="B6731">
            <v>2024004540106</v>
          </cell>
          <cell r="BP6731">
            <v>100</v>
          </cell>
        </row>
        <row r="6732">
          <cell r="B6732">
            <v>2024004540108</v>
          </cell>
          <cell r="BP6732">
            <v>100</v>
          </cell>
        </row>
        <row r="6733">
          <cell r="B6733">
            <v>2024004540114</v>
          </cell>
          <cell r="BP6733">
            <v>100</v>
          </cell>
        </row>
        <row r="6734">
          <cell r="B6734">
            <v>2024004540120</v>
          </cell>
          <cell r="BP6734">
            <v>100</v>
          </cell>
        </row>
        <row r="6735">
          <cell r="B6735">
            <v>2025000050020</v>
          </cell>
          <cell r="BP6735">
            <v>0</v>
          </cell>
        </row>
        <row r="6736">
          <cell r="B6736">
            <v>2025004540003</v>
          </cell>
          <cell r="BP6736">
            <v>100</v>
          </cell>
        </row>
        <row r="6737">
          <cell r="B6737">
            <v>2025004540010</v>
          </cell>
          <cell r="BP6737">
            <v>89</v>
          </cell>
        </row>
        <row r="6738">
          <cell r="B6738">
            <v>2022540030003</v>
          </cell>
          <cell r="BP6738">
            <v>100</v>
          </cell>
        </row>
        <row r="6739">
          <cell r="B6739">
            <v>2023004540006</v>
          </cell>
          <cell r="BP6739">
            <v>100</v>
          </cell>
        </row>
        <row r="6740">
          <cell r="B6740">
            <v>2024004540007</v>
          </cell>
          <cell r="BP6740">
            <v>100</v>
          </cell>
        </row>
        <row r="6741">
          <cell r="B6741">
            <v>2024004540105</v>
          </cell>
          <cell r="BP6741">
            <v>89</v>
          </cell>
        </row>
        <row r="6742">
          <cell r="B6742">
            <v>2024004540107</v>
          </cell>
          <cell r="BP6742">
            <v>100</v>
          </cell>
        </row>
        <row r="6743">
          <cell r="B6743">
            <v>2020000100398</v>
          </cell>
          <cell r="BP6743">
            <v>89</v>
          </cell>
        </row>
        <row r="6744">
          <cell r="B6744">
            <v>2025544980002</v>
          </cell>
          <cell r="BP6744">
            <v>89</v>
          </cell>
        </row>
        <row r="6745">
          <cell r="B6745">
            <v>2025544980003</v>
          </cell>
          <cell r="BP6745">
            <v>100</v>
          </cell>
        </row>
        <row r="6746">
          <cell r="B6746">
            <v>2024545990025</v>
          </cell>
          <cell r="BP6746">
            <v>100</v>
          </cell>
        </row>
        <row r="6747">
          <cell r="B6747">
            <v>2025545990001</v>
          </cell>
          <cell r="BP6747">
            <v>100</v>
          </cell>
        </row>
        <row r="6748">
          <cell r="B6748">
            <v>2025546600002</v>
          </cell>
          <cell r="BP6748">
            <v>100</v>
          </cell>
        </row>
        <row r="6749">
          <cell r="B6749">
            <v>2023547200007</v>
          </cell>
          <cell r="BP6749">
            <v>90</v>
          </cell>
        </row>
        <row r="6750">
          <cell r="B6750">
            <v>2024547200051</v>
          </cell>
          <cell r="BP6750">
            <v>100</v>
          </cell>
        </row>
        <row r="6751">
          <cell r="B6751">
            <v>2025547430001</v>
          </cell>
          <cell r="BP6751">
            <v>100</v>
          </cell>
        </row>
        <row r="6752">
          <cell r="B6752">
            <v>2025547430002</v>
          </cell>
          <cell r="BP6752">
            <v>100</v>
          </cell>
        </row>
        <row r="6753">
          <cell r="B6753">
            <v>2019548100021</v>
          </cell>
          <cell r="BP6753">
            <v>100</v>
          </cell>
        </row>
        <row r="6754">
          <cell r="B6754">
            <v>2024548200025</v>
          </cell>
          <cell r="BP6754">
            <v>89</v>
          </cell>
        </row>
        <row r="6755">
          <cell r="B6755">
            <v>2024548200028</v>
          </cell>
          <cell r="BP6755">
            <v>100</v>
          </cell>
        </row>
        <row r="6756">
          <cell r="B6756">
            <v>2025548710001</v>
          </cell>
          <cell r="BP6756">
            <v>100</v>
          </cell>
        </row>
        <row r="6757">
          <cell r="B6757">
            <v>2025862190004</v>
          </cell>
          <cell r="BP6757">
            <v>100</v>
          </cell>
        </row>
        <row r="6758">
          <cell r="B6758">
            <v>20243223000001</v>
          </cell>
          <cell r="BP6758">
            <v>100</v>
          </cell>
        </row>
        <row r="6759">
          <cell r="B6759">
            <v>20253223000001</v>
          </cell>
          <cell r="BP6759">
            <v>100</v>
          </cell>
        </row>
        <row r="6760">
          <cell r="B6760">
            <v>2025860010007</v>
          </cell>
          <cell r="BP6760">
            <v>89</v>
          </cell>
        </row>
        <row r="6761">
          <cell r="B6761">
            <v>2024863200059</v>
          </cell>
          <cell r="BP6761">
            <v>100</v>
          </cell>
        </row>
        <row r="6762">
          <cell r="B6762">
            <v>2024863200150</v>
          </cell>
          <cell r="BP6762">
            <v>100</v>
          </cell>
        </row>
        <row r="6763">
          <cell r="B6763">
            <v>2025863200003</v>
          </cell>
          <cell r="BP6763">
            <v>100</v>
          </cell>
        </row>
        <row r="6764">
          <cell r="B6764">
            <v>2025863200006</v>
          </cell>
          <cell r="BP6764">
            <v>99.6</v>
          </cell>
        </row>
        <row r="6765">
          <cell r="B6765">
            <v>2025863200018</v>
          </cell>
          <cell r="BP6765">
            <v>100</v>
          </cell>
        </row>
        <row r="6766">
          <cell r="B6766" t="str">
            <v>2025M005670001</v>
          </cell>
          <cell r="BP6766">
            <v>100</v>
          </cell>
        </row>
        <row r="6767">
          <cell r="B6767" t="str">
            <v>2025M006760001</v>
          </cell>
          <cell r="BP6767">
            <v>100</v>
          </cell>
        </row>
        <row r="6768">
          <cell r="B6768">
            <v>2024865680182</v>
          </cell>
          <cell r="BP6768">
            <v>100</v>
          </cell>
        </row>
        <row r="6769">
          <cell r="B6769">
            <v>2024865680079</v>
          </cell>
          <cell r="BP6769">
            <v>100</v>
          </cell>
        </row>
        <row r="6770">
          <cell r="B6770">
            <v>2025865680005</v>
          </cell>
          <cell r="BP6770">
            <v>100</v>
          </cell>
        </row>
        <row r="6771">
          <cell r="B6771">
            <v>2025865710011</v>
          </cell>
          <cell r="BP6771">
            <v>89</v>
          </cell>
        </row>
        <row r="6772">
          <cell r="B6772">
            <v>2025865710003</v>
          </cell>
          <cell r="BP6772">
            <v>100</v>
          </cell>
        </row>
        <row r="6773">
          <cell r="B6773">
            <v>2025865710004</v>
          </cell>
          <cell r="BP6773">
            <v>100</v>
          </cell>
        </row>
        <row r="6774">
          <cell r="B6774">
            <v>2025865710010</v>
          </cell>
          <cell r="BP6774">
            <v>100</v>
          </cell>
        </row>
        <row r="6775">
          <cell r="B6775">
            <v>2017006860012</v>
          </cell>
          <cell r="BP6775">
            <v>100</v>
          </cell>
        </row>
        <row r="6776">
          <cell r="B6776">
            <v>2024000060004</v>
          </cell>
          <cell r="BP6776">
            <v>96.7</v>
          </cell>
        </row>
        <row r="6777">
          <cell r="B6777">
            <v>2024006860200</v>
          </cell>
          <cell r="BP6777">
            <v>90</v>
          </cell>
        </row>
        <row r="6778">
          <cell r="B6778">
            <v>2025000060005</v>
          </cell>
          <cell r="BP6778">
            <v>83</v>
          </cell>
        </row>
        <row r="6779">
          <cell r="B6779">
            <v>2025006860020</v>
          </cell>
          <cell r="BP6779">
            <v>100</v>
          </cell>
        </row>
        <row r="6780">
          <cell r="B6780">
            <v>2025006860027</v>
          </cell>
          <cell r="BP6780">
            <v>90</v>
          </cell>
        </row>
        <row r="6781">
          <cell r="B6781">
            <v>2024006860334</v>
          </cell>
          <cell r="BP6781">
            <v>100</v>
          </cell>
        </row>
        <row r="6782">
          <cell r="B6782">
            <v>2025006860016</v>
          </cell>
          <cell r="BP6782">
            <v>100</v>
          </cell>
        </row>
        <row r="6783">
          <cell r="B6783">
            <v>2024006860350</v>
          </cell>
          <cell r="BP6783">
            <v>100</v>
          </cell>
        </row>
        <row r="6784">
          <cell r="B6784">
            <v>2024006860357</v>
          </cell>
          <cell r="BP6784">
            <v>100</v>
          </cell>
        </row>
        <row r="6785">
          <cell r="B6785">
            <v>2025006860006</v>
          </cell>
          <cell r="BP6785">
            <v>100</v>
          </cell>
        </row>
        <row r="6786">
          <cell r="B6786">
            <v>2024867550020</v>
          </cell>
          <cell r="BP6786">
            <v>100</v>
          </cell>
        </row>
        <row r="6787">
          <cell r="B6787">
            <v>20211301010385</v>
          </cell>
          <cell r="BP6787">
            <v>100</v>
          </cell>
        </row>
        <row r="6788">
          <cell r="B6788">
            <v>2023867490039</v>
          </cell>
          <cell r="BP6788">
            <v>100</v>
          </cell>
        </row>
        <row r="6789">
          <cell r="B6789">
            <v>2025868650015</v>
          </cell>
          <cell r="BP6789">
            <v>100</v>
          </cell>
        </row>
        <row r="6790">
          <cell r="B6790">
            <v>2025868650014</v>
          </cell>
          <cell r="BP6790">
            <v>100</v>
          </cell>
        </row>
        <row r="6791">
          <cell r="B6791">
            <v>2025868650016</v>
          </cell>
          <cell r="BP6791">
            <v>89</v>
          </cell>
        </row>
        <row r="6792">
          <cell r="B6792">
            <v>2024868650079</v>
          </cell>
          <cell r="BP6792">
            <v>100</v>
          </cell>
        </row>
        <row r="6793">
          <cell r="B6793">
            <v>2024868850028</v>
          </cell>
          <cell r="BP6793">
            <v>89</v>
          </cell>
        </row>
        <row r="6794">
          <cell r="B6794">
            <v>2025868850007</v>
          </cell>
          <cell r="BP6794">
            <v>100</v>
          </cell>
        </row>
        <row r="6795">
          <cell r="B6795">
            <v>2018631900022</v>
          </cell>
          <cell r="BP6795">
            <v>88</v>
          </cell>
        </row>
        <row r="6796">
          <cell r="B6796">
            <v>2025632720002</v>
          </cell>
          <cell r="BP6796">
            <v>100</v>
          </cell>
        </row>
        <row r="6797">
          <cell r="B6797">
            <v>2024632720001</v>
          </cell>
          <cell r="BP6797">
            <v>100</v>
          </cell>
        </row>
        <row r="6798">
          <cell r="B6798">
            <v>2025633020001</v>
          </cell>
          <cell r="BP6798">
            <v>100</v>
          </cell>
        </row>
        <row r="6799">
          <cell r="B6799">
            <v>2024633020001</v>
          </cell>
          <cell r="BP6799">
            <v>100</v>
          </cell>
        </row>
        <row r="6800">
          <cell r="B6800">
            <v>2021634010008</v>
          </cell>
          <cell r="BP6800">
            <v>60.6</v>
          </cell>
        </row>
        <row r="6801">
          <cell r="B6801">
            <v>2024634700005</v>
          </cell>
          <cell r="BP6801">
            <v>100</v>
          </cell>
        </row>
        <row r="6802">
          <cell r="B6802">
            <v>2024635940139</v>
          </cell>
          <cell r="BP6802">
            <v>100</v>
          </cell>
        </row>
        <row r="6803">
          <cell r="B6803">
            <v>2017000100113</v>
          </cell>
          <cell r="BP6803">
            <v>100</v>
          </cell>
        </row>
        <row r="6804">
          <cell r="B6804">
            <v>2024000040007</v>
          </cell>
          <cell r="BP6804">
            <v>42.9</v>
          </cell>
        </row>
        <row r="6805">
          <cell r="B6805">
            <v>2025003630003</v>
          </cell>
          <cell r="BP6805">
            <v>100</v>
          </cell>
        </row>
        <row r="6806">
          <cell r="B6806">
            <v>2021003630025</v>
          </cell>
          <cell r="BP6806">
            <v>90</v>
          </cell>
        </row>
        <row r="6807">
          <cell r="B6807">
            <v>2022003630001</v>
          </cell>
          <cell r="BP6807">
            <v>100</v>
          </cell>
        </row>
        <row r="6808">
          <cell r="B6808">
            <v>2024003630003</v>
          </cell>
          <cell r="BP6808">
            <v>100</v>
          </cell>
        </row>
        <row r="6809">
          <cell r="B6809">
            <v>2023003630008</v>
          </cell>
          <cell r="BP6809">
            <v>98.7</v>
          </cell>
        </row>
        <row r="6810">
          <cell r="B6810">
            <v>2020000100318</v>
          </cell>
          <cell r="BP6810">
            <v>100</v>
          </cell>
        </row>
        <row r="6811">
          <cell r="B6811">
            <v>2022003630005</v>
          </cell>
          <cell r="BP6811">
            <v>100</v>
          </cell>
        </row>
        <row r="6812">
          <cell r="B6812">
            <v>2024636900066</v>
          </cell>
          <cell r="BP6812">
            <v>100</v>
          </cell>
        </row>
        <row r="6813">
          <cell r="B6813">
            <v>2023660450004</v>
          </cell>
          <cell r="BP6813">
            <v>100</v>
          </cell>
        </row>
        <row r="6814">
          <cell r="B6814">
            <v>2025660450003</v>
          </cell>
          <cell r="BP6814">
            <v>100</v>
          </cell>
        </row>
        <row r="6815">
          <cell r="B6815">
            <v>2025660450001</v>
          </cell>
          <cell r="BP6815">
            <v>100</v>
          </cell>
        </row>
        <row r="6816">
          <cell r="B6816">
            <v>2025660450002</v>
          </cell>
          <cell r="BP6816">
            <v>100</v>
          </cell>
        </row>
        <row r="6817">
          <cell r="B6817">
            <v>2025663830001</v>
          </cell>
          <cell r="BP6817">
            <v>100</v>
          </cell>
        </row>
        <row r="6818">
          <cell r="B6818">
            <v>2024664000049</v>
          </cell>
          <cell r="BP6818">
            <v>100</v>
          </cell>
        </row>
        <row r="6819">
          <cell r="B6819">
            <v>2025665720001</v>
          </cell>
          <cell r="BP6819">
            <v>100</v>
          </cell>
        </row>
        <row r="6820">
          <cell r="B6820">
            <v>2025665720003</v>
          </cell>
          <cell r="BP6820">
            <v>89</v>
          </cell>
        </row>
        <row r="6821">
          <cell r="B6821">
            <v>2025665720005</v>
          </cell>
          <cell r="BP6821">
            <v>89</v>
          </cell>
        </row>
        <row r="6822">
          <cell r="B6822">
            <v>2025665720007</v>
          </cell>
          <cell r="BP6822">
            <v>89</v>
          </cell>
        </row>
        <row r="6823">
          <cell r="B6823">
            <v>2023665940007</v>
          </cell>
          <cell r="BP6823">
            <v>100</v>
          </cell>
        </row>
        <row r="6824">
          <cell r="B6824">
            <v>2024665940058</v>
          </cell>
          <cell r="BP6824">
            <v>100</v>
          </cell>
        </row>
        <row r="6825">
          <cell r="B6825">
            <v>2023003660003</v>
          </cell>
          <cell r="BP6825">
            <v>89</v>
          </cell>
        </row>
        <row r="6826">
          <cell r="B6826">
            <v>2021000100291</v>
          </cell>
          <cell r="BP6826">
            <v>100</v>
          </cell>
        </row>
        <row r="6827">
          <cell r="B6827">
            <v>2024003660075</v>
          </cell>
          <cell r="BP6827">
            <v>100</v>
          </cell>
        </row>
        <row r="6828">
          <cell r="B6828">
            <v>2024003660063</v>
          </cell>
          <cell r="BP6828">
            <v>100</v>
          </cell>
        </row>
        <row r="6829">
          <cell r="B6829">
            <v>2024003660070</v>
          </cell>
          <cell r="BP6829">
            <v>100</v>
          </cell>
        </row>
        <row r="6830">
          <cell r="B6830">
            <v>2024003660067</v>
          </cell>
          <cell r="BP6830">
            <v>100</v>
          </cell>
        </row>
        <row r="6831">
          <cell r="B6831">
            <v>2023003660036</v>
          </cell>
          <cell r="BP6831">
            <v>100</v>
          </cell>
        </row>
        <row r="6832">
          <cell r="B6832">
            <v>2018000100013</v>
          </cell>
          <cell r="BP6832">
            <v>100</v>
          </cell>
        </row>
        <row r="6833">
          <cell r="B6833">
            <v>2023666820009</v>
          </cell>
          <cell r="BP6833">
            <v>100</v>
          </cell>
        </row>
        <row r="6834">
          <cell r="B6834">
            <v>2025666870001</v>
          </cell>
          <cell r="BP6834">
            <v>100</v>
          </cell>
        </row>
        <row r="6835">
          <cell r="B6835">
            <v>2016000100002</v>
          </cell>
          <cell r="BP6835">
            <v>89</v>
          </cell>
        </row>
        <row r="6836">
          <cell r="B6836">
            <v>2021000100223</v>
          </cell>
          <cell r="BP6836">
            <v>100</v>
          </cell>
        </row>
        <row r="6837">
          <cell r="B6837">
            <v>2024002880125</v>
          </cell>
          <cell r="BP6837">
            <v>100</v>
          </cell>
        </row>
        <row r="6838">
          <cell r="B6838">
            <v>2024002880141</v>
          </cell>
          <cell r="BP6838">
            <v>100</v>
          </cell>
        </row>
        <row r="6839">
          <cell r="B6839">
            <v>2021000100348</v>
          </cell>
          <cell r="BP6839">
            <v>100</v>
          </cell>
        </row>
        <row r="6840">
          <cell r="B6840">
            <v>2023680200062</v>
          </cell>
          <cell r="BP6840">
            <v>100</v>
          </cell>
        </row>
        <row r="6841">
          <cell r="B6841">
            <v>2025680510001</v>
          </cell>
          <cell r="BP6841">
            <v>100</v>
          </cell>
        </row>
        <row r="6842">
          <cell r="B6842">
            <v>2024680810019</v>
          </cell>
          <cell r="BP6842">
            <v>100</v>
          </cell>
        </row>
        <row r="6843">
          <cell r="B6843">
            <v>2022680810096</v>
          </cell>
          <cell r="BP6843">
            <v>100</v>
          </cell>
        </row>
        <row r="6844">
          <cell r="B6844">
            <v>2023680810100</v>
          </cell>
          <cell r="BP6844">
            <v>100</v>
          </cell>
        </row>
        <row r="6845">
          <cell r="B6845">
            <v>2025680920001</v>
          </cell>
          <cell r="BP6845">
            <v>100</v>
          </cell>
        </row>
        <row r="6846">
          <cell r="B6846">
            <v>2025681210001</v>
          </cell>
          <cell r="BP6846">
            <v>100</v>
          </cell>
        </row>
        <row r="6847">
          <cell r="B6847">
            <v>2024681320033</v>
          </cell>
          <cell r="BP6847">
            <v>89</v>
          </cell>
        </row>
        <row r="6848">
          <cell r="B6848">
            <v>2023681520029</v>
          </cell>
          <cell r="BP6848">
            <v>100</v>
          </cell>
        </row>
        <row r="6849">
          <cell r="B6849">
            <v>2025681520001</v>
          </cell>
          <cell r="BP6849">
            <v>100</v>
          </cell>
        </row>
        <row r="6850">
          <cell r="B6850">
            <v>2025681670001</v>
          </cell>
          <cell r="BP6850">
            <v>100</v>
          </cell>
        </row>
        <row r="6851">
          <cell r="B6851">
            <v>2025681760001</v>
          </cell>
          <cell r="BP6851">
            <v>100</v>
          </cell>
        </row>
        <row r="6852">
          <cell r="B6852">
            <v>2025681900001</v>
          </cell>
          <cell r="BP6852">
            <v>100</v>
          </cell>
        </row>
        <row r="6853">
          <cell r="B6853">
            <v>2025681900002</v>
          </cell>
          <cell r="BP6853">
            <v>100</v>
          </cell>
        </row>
        <row r="6854">
          <cell r="B6854">
            <v>2025682070001</v>
          </cell>
          <cell r="BP6854">
            <v>100</v>
          </cell>
        </row>
        <row r="6855">
          <cell r="B6855">
            <v>2025682070002</v>
          </cell>
          <cell r="BP6855">
            <v>100</v>
          </cell>
        </row>
        <row r="6856">
          <cell r="B6856">
            <v>2025682110001</v>
          </cell>
          <cell r="BP6856">
            <v>89</v>
          </cell>
        </row>
        <row r="6857">
          <cell r="B6857">
            <v>2024682350083</v>
          </cell>
          <cell r="BP6857">
            <v>89</v>
          </cell>
        </row>
        <row r="6858">
          <cell r="B6858">
            <v>2024682350084</v>
          </cell>
          <cell r="BP6858">
            <v>89</v>
          </cell>
        </row>
        <row r="6859">
          <cell r="B6859">
            <v>2023682350046</v>
          </cell>
          <cell r="BP6859">
            <v>100</v>
          </cell>
        </row>
        <row r="6860">
          <cell r="B6860">
            <v>2025682450002</v>
          </cell>
          <cell r="BP6860">
            <v>90</v>
          </cell>
        </row>
        <row r="6861">
          <cell r="B6861">
            <v>2024682550038</v>
          </cell>
          <cell r="BP6861">
            <v>89</v>
          </cell>
        </row>
        <row r="6862">
          <cell r="B6862">
            <v>2025682550002</v>
          </cell>
          <cell r="BP6862">
            <v>89</v>
          </cell>
        </row>
        <row r="6863">
          <cell r="B6863">
            <v>2024682960022</v>
          </cell>
          <cell r="BP6863">
            <v>100</v>
          </cell>
        </row>
        <row r="6864">
          <cell r="B6864">
            <v>2025683270003</v>
          </cell>
          <cell r="BP6864">
            <v>100</v>
          </cell>
        </row>
        <row r="6865">
          <cell r="B6865">
            <v>2025683680001</v>
          </cell>
          <cell r="BP6865">
            <v>100</v>
          </cell>
        </row>
        <row r="6866">
          <cell r="B6866" t="str">
            <v>2025Rrom010001</v>
          </cell>
          <cell r="BP6866">
            <v>100</v>
          </cell>
        </row>
        <row r="6867">
          <cell r="B6867">
            <v>2025684320001</v>
          </cell>
          <cell r="BP6867">
            <v>100</v>
          </cell>
        </row>
        <row r="6868">
          <cell r="B6868">
            <v>2025684440002</v>
          </cell>
          <cell r="BP6868">
            <v>100</v>
          </cell>
        </row>
        <row r="6869">
          <cell r="B6869">
            <v>2025684680001</v>
          </cell>
          <cell r="BP6869">
            <v>100</v>
          </cell>
        </row>
        <row r="6870">
          <cell r="B6870">
            <v>2025684680002</v>
          </cell>
          <cell r="BP6870">
            <v>100</v>
          </cell>
        </row>
        <row r="6871">
          <cell r="B6871">
            <v>2025684980002</v>
          </cell>
          <cell r="BP6871">
            <v>100</v>
          </cell>
        </row>
        <row r="6872">
          <cell r="B6872">
            <v>2025685220002</v>
          </cell>
          <cell r="BP6872">
            <v>100</v>
          </cell>
        </row>
        <row r="6873">
          <cell r="B6873">
            <v>2025685220003</v>
          </cell>
          <cell r="BP6873">
            <v>100</v>
          </cell>
        </row>
        <row r="6874">
          <cell r="B6874">
            <v>2025685330001</v>
          </cell>
          <cell r="BP6874">
            <v>100</v>
          </cell>
        </row>
        <row r="6875">
          <cell r="B6875">
            <v>2025685330002</v>
          </cell>
          <cell r="BP6875">
            <v>100</v>
          </cell>
        </row>
        <row r="6876">
          <cell r="B6876">
            <v>2025685730002</v>
          </cell>
          <cell r="BP6876">
            <v>100</v>
          </cell>
        </row>
        <row r="6877">
          <cell r="B6877">
            <v>2024685750067</v>
          </cell>
          <cell r="BP6877">
            <v>100</v>
          </cell>
        </row>
        <row r="6878">
          <cell r="B6878">
            <v>2025685750003</v>
          </cell>
          <cell r="BP6878">
            <v>100</v>
          </cell>
        </row>
        <row r="6879">
          <cell r="B6879">
            <v>2025686150001</v>
          </cell>
          <cell r="BP6879">
            <v>100</v>
          </cell>
        </row>
        <row r="6880">
          <cell r="B6880">
            <v>2025686150002</v>
          </cell>
          <cell r="BP6880">
            <v>100</v>
          </cell>
        </row>
        <row r="6881">
          <cell r="B6881">
            <v>2025686150003</v>
          </cell>
          <cell r="BP6881">
            <v>100</v>
          </cell>
        </row>
        <row r="6882">
          <cell r="B6882">
            <v>2025686550001</v>
          </cell>
          <cell r="BP6882">
            <v>100</v>
          </cell>
        </row>
        <row r="6883">
          <cell r="B6883">
            <v>2025686550005</v>
          </cell>
          <cell r="BP6883">
            <v>100</v>
          </cell>
        </row>
        <row r="6884">
          <cell r="B6884">
            <v>2024686550052</v>
          </cell>
          <cell r="BP6884">
            <v>89</v>
          </cell>
        </row>
        <row r="6885">
          <cell r="B6885">
            <v>2025686550004</v>
          </cell>
          <cell r="BP6885">
            <v>100</v>
          </cell>
        </row>
        <row r="6886">
          <cell r="B6886">
            <v>2025686550006</v>
          </cell>
          <cell r="BP6886">
            <v>100</v>
          </cell>
        </row>
        <row r="6887">
          <cell r="B6887">
            <v>2024686730062</v>
          </cell>
          <cell r="BP6887">
            <v>0</v>
          </cell>
        </row>
        <row r="6888">
          <cell r="B6888">
            <v>2023686890074</v>
          </cell>
          <cell r="BP6888">
            <v>100</v>
          </cell>
        </row>
        <row r="6889">
          <cell r="B6889">
            <v>2025686890004</v>
          </cell>
          <cell r="BP6889">
            <v>100</v>
          </cell>
        </row>
        <row r="6890">
          <cell r="B6890">
            <v>2025687050003</v>
          </cell>
          <cell r="BP6890">
            <v>100</v>
          </cell>
        </row>
        <row r="6891">
          <cell r="B6891">
            <v>2020000100130</v>
          </cell>
          <cell r="BP6891">
            <v>56</v>
          </cell>
        </row>
        <row r="6892">
          <cell r="B6892">
            <v>2017000100070</v>
          </cell>
          <cell r="BP6892">
            <v>0</v>
          </cell>
        </row>
        <row r="6893">
          <cell r="B6893">
            <v>2018000050025</v>
          </cell>
          <cell r="BP6893">
            <v>95.5</v>
          </cell>
        </row>
        <row r="6894">
          <cell r="B6894">
            <v>2021004680402</v>
          </cell>
          <cell r="BP6894">
            <v>100</v>
          </cell>
        </row>
        <row r="6895">
          <cell r="B6895">
            <v>2022004680128</v>
          </cell>
          <cell r="BP6895">
            <v>100</v>
          </cell>
        </row>
        <row r="6896">
          <cell r="B6896">
            <v>2023004680020</v>
          </cell>
          <cell r="BP6896">
            <v>100</v>
          </cell>
        </row>
        <row r="6897">
          <cell r="B6897">
            <v>2023004680086</v>
          </cell>
          <cell r="BP6897">
            <v>100</v>
          </cell>
        </row>
        <row r="6898">
          <cell r="B6898">
            <v>2023004680089</v>
          </cell>
          <cell r="BP6898">
            <v>100</v>
          </cell>
        </row>
        <row r="6899">
          <cell r="B6899">
            <v>2023004680091</v>
          </cell>
          <cell r="BP6899">
            <v>100</v>
          </cell>
        </row>
        <row r="6900">
          <cell r="B6900">
            <v>2024004680006</v>
          </cell>
          <cell r="BP6900">
            <v>100</v>
          </cell>
        </row>
        <row r="6901">
          <cell r="B6901">
            <v>2024004680064</v>
          </cell>
          <cell r="BP6901">
            <v>90</v>
          </cell>
        </row>
        <row r="6902">
          <cell r="B6902">
            <v>2022000050017</v>
          </cell>
          <cell r="BP6902">
            <v>99.6</v>
          </cell>
        </row>
        <row r="6903">
          <cell r="B6903">
            <v>2023004680132</v>
          </cell>
          <cell r="BP6903">
            <v>100</v>
          </cell>
        </row>
        <row r="6904">
          <cell r="B6904">
            <v>2025004680001</v>
          </cell>
          <cell r="BP6904">
            <v>100</v>
          </cell>
        </row>
        <row r="6905">
          <cell r="B6905">
            <v>2025004680002</v>
          </cell>
          <cell r="BP6905">
            <v>100</v>
          </cell>
        </row>
        <row r="6906">
          <cell r="B6906">
            <v>2020000100447</v>
          </cell>
          <cell r="BP6906">
            <v>100</v>
          </cell>
        </row>
        <row r="6907">
          <cell r="B6907">
            <v>2024687450025</v>
          </cell>
          <cell r="BP6907">
            <v>100</v>
          </cell>
        </row>
        <row r="6908">
          <cell r="B6908">
            <v>2024687450028</v>
          </cell>
          <cell r="BP6908">
            <v>100</v>
          </cell>
        </row>
        <row r="6909">
          <cell r="B6909">
            <v>2025687700003</v>
          </cell>
          <cell r="BP6909">
            <v>100</v>
          </cell>
        </row>
        <row r="6910">
          <cell r="B6910">
            <v>2023687700021</v>
          </cell>
          <cell r="BP6910">
            <v>100</v>
          </cell>
        </row>
        <row r="6911">
          <cell r="B6911">
            <v>2025687800001</v>
          </cell>
          <cell r="BP6911">
            <v>100</v>
          </cell>
        </row>
        <row r="6912">
          <cell r="B6912">
            <v>2025688200001</v>
          </cell>
          <cell r="BP6912">
            <v>100</v>
          </cell>
        </row>
        <row r="6913">
          <cell r="B6913">
            <v>2025688550004</v>
          </cell>
          <cell r="BP6913">
            <v>100</v>
          </cell>
        </row>
        <row r="6914">
          <cell r="B6914">
            <v>2024688610051</v>
          </cell>
          <cell r="BP6914">
            <v>100</v>
          </cell>
        </row>
        <row r="6915">
          <cell r="B6915">
            <v>2025688720003</v>
          </cell>
          <cell r="BP6915">
            <v>100</v>
          </cell>
        </row>
        <row r="6916">
          <cell r="B6916">
            <v>2025688720002</v>
          </cell>
          <cell r="BP6916">
            <v>100</v>
          </cell>
        </row>
        <row r="6917">
          <cell r="B6917" t="str">
            <v>2023I00010049</v>
          </cell>
          <cell r="BP6917">
            <v>100</v>
          </cell>
        </row>
        <row r="6918">
          <cell r="B6918">
            <v>2024701100027</v>
          </cell>
          <cell r="BP6918">
            <v>89</v>
          </cell>
        </row>
        <row r="6919">
          <cell r="B6919">
            <v>2025701100009</v>
          </cell>
          <cell r="BP6919">
            <v>100</v>
          </cell>
        </row>
        <row r="6920">
          <cell r="B6920">
            <v>2025701100001</v>
          </cell>
          <cell r="BP6920">
            <v>100</v>
          </cell>
        </row>
        <row r="6921">
          <cell r="B6921">
            <v>2025701100007</v>
          </cell>
          <cell r="BP6921">
            <v>100</v>
          </cell>
        </row>
        <row r="6922">
          <cell r="B6922">
            <v>2023701240032</v>
          </cell>
          <cell r="BP6922">
            <v>100</v>
          </cell>
        </row>
        <row r="6923">
          <cell r="B6923">
            <v>2025701240001</v>
          </cell>
          <cell r="BP6923">
            <v>100</v>
          </cell>
        </row>
        <row r="6924">
          <cell r="B6924">
            <v>2021702300046</v>
          </cell>
          <cell r="BP6924">
            <v>90</v>
          </cell>
        </row>
        <row r="6925">
          <cell r="B6925">
            <v>2024702300048</v>
          </cell>
          <cell r="BP6925">
            <v>100</v>
          </cell>
        </row>
        <row r="6926">
          <cell r="B6926">
            <v>2025702300001</v>
          </cell>
          <cell r="BP6926">
            <v>90</v>
          </cell>
        </row>
        <row r="6927">
          <cell r="B6927">
            <v>2024702040010</v>
          </cell>
          <cell r="BP6927">
            <v>100</v>
          </cell>
        </row>
        <row r="6928">
          <cell r="B6928">
            <v>2019702150033</v>
          </cell>
          <cell r="BP6928">
            <v>100</v>
          </cell>
        </row>
        <row r="6929">
          <cell r="B6929">
            <v>2021702150010</v>
          </cell>
          <cell r="BP6929">
            <v>96.4</v>
          </cell>
        </row>
        <row r="6930">
          <cell r="B6930">
            <v>2024702150069</v>
          </cell>
          <cell r="BP6930">
            <v>100</v>
          </cell>
        </row>
        <row r="6931">
          <cell r="B6931">
            <v>2025702150002</v>
          </cell>
          <cell r="BP6931">
            <v>100</v>
          </cell>
        </row>
        <row r="6932">
          <cell r="B6932">
            <v>2025702150004</v>
          </cell>
          <cell r="BP6932">
            <v>100</v>
          </cell>
        </row>
        <row r="6933">
          <cell r="B6933">
            <v>2023702210062</v>
          </cell>
          <cell r="BP6933">
            <v>89</v>
          </cell>
        </row>
        <row r="6934">
          <cell r="B6934">
            <v>2022702330022</v>
          </cell>
          <cell r="BP6934">
            <v>100</v>
          </cell>
        </row>
        <row r="6935">
          <cell r="B6935">
            <v>2025702650001</v>
          </cell>
          <cell r="BP6935">
            <v>100</v>
          </cell>
        </row>
        <row r="6936">
          <cell r="B6936">
            <v>2025704000002</v>
          </cell>
          <cell r="BP6936">
            <v>100</v>
          </cell>
        </row>
        <row r="6937">
          <cell r="B6937">
            <v>2025704000006</v>
          </cell>
          <cell r="BP6937">
            <v>100</v>
          </cell>
        </row>
        <row r="6938">
          <cell r="B6938">
            <v>2024704180027</v>
          </cell>
          <cell r="BP6938">
            <v>100</v>
          </cell>
        </row>
        <row r="6939">
          <cell r="B6939">
            <v>2024704180028</v>
          </cell>
          <cell r="BP6939">
            <v>100</v>
          </cell>
        </row>
        <row r="6940">
          <cell r="B6940">
            <v>2024704180039</v>
          </cell>
          <cell r="BP6940">
            <v>90</v>
          </cell>
        </row>
        <row r="6941">
          <cell r="B6941">
            <v>2024704180041</v>
          </cell>
          <cell r="BP6941">
            <v>100</v>
          </cell>
        </row>
        <row r="6942">
          <cell r="B6942">
            <v>2025704180003</v>
          </cell>
          <cell r="BP6942">
            <v>100</v>
          </cell>
        </row>
        <row r="6943">
          <cell r="B6943">
            <v>2025704290001</v>
          </cell>
          <cell r="BP6943">
            <v>100</v>
          </cell>
        </row>
        <row r="6944">
          <cell r="B6944">
            <v>2025704290002</v>
          </cell>
          <cell r="BP6944">
            <v>100</v>
          </cell>
        </row>
        <row r="6945">
          <cell r="B6945">
            <v>2025704730001</v>
          </cell>
          <cell r="BP6945">
            <v>100</v>
          </cell>
        </row>
        <row r="6946">
          <cell r="B6946" t="str">
            <v>2025M007460001</v>
          </cell>
          <cell r="BP6946">
            <v>100</v>
          </cell>
        </row>
        <row r="6947">
          <cell r="B6947">
            <v>2025705230002</v>
          </cell>
          <cell r="BP6947">
            <v>100</v>
          </cell>
        </row>
        <row r="6948">
          <cell r="B6948">
            <v>2024706700100</v>
          </cell>
          <cell r="BP6948">
            <v>100</v>
          </cell>
        </row>
        <row r="6949">
          <cell r="B6949">
            <v>2024706700066</v>
          </cell>
          <cell r="BP6949">
            <v>100</v>
          </cell>
        </row>
        <row r="6950">
          <cell r="B6950">
            <v>2025706700005</v>
          </cell>
          <cell r="BP6950">
            <v>100</v>
          </cell>
        </row>
        <row r="6951">
          <cell r="B6951">
            <v>2025706780001</v>
          </cell>
          <cell r="BP6951">
            <v>100</v>
          </cell>
        </row>
        <row r="6952">
          <cell r="B6952">
            <v>2025706780002</v>
          </cell>
          <cell r="BP6952">
            <v>100</v>
          </cell>
        </row>
        <row r="6953">
          <cell r="B6953">
            <v>2025706780004</v>
          </cell>
          <cell r="BP6953">
            <v>100</v>
          </cell>
        </row>
        <row r="6954">
          <cell r="B6954">
            <v>2025707080001</v>
          </cell>
          <cell r="BP6954">
            <v>100</v>
          </cell>
        </row>
        <row r="6955">
          <cell r="B6955">
            <v>2025707170001</v>
          </cell>
          <cell r="BP6955">
            <v>100</v>
          </cell>
        </row>
        <row r="6956">
          <cell r="B6956">
            <v>2025707170002</v>
          </cell>
          <cell r="BP6956">
            <v>100</v>
          </cell>
        </row>
        <row r="6957">
          <cell r="B6957">
            <v>2025707170003</v>
          </cell>
          <cell r="BP6957">
            <v>100</v>
          </cell>
        </row>
        <row r="6958">
          <cell r="B6958">
            <v>2025708200001</v>
          </cell>
          <cell r="BP6958">
            <v>89</v>
          </cell>
        </row>
        <row r="6959">
          <cell r="B6959">
            <v>2025708200002</v>
          </cell>
          <cell r="BP6959">
            <v>89</v>
          </cell>
        </row>
        <row r="6960">
          <cell r="B6960">
            <v>2025708200003</v>
          </cell>
          <cell r="BP6960">
            <v>89</v>
          </cell>
        </row>
        <row r="6961">
          <cell r="B6961" t="str">
            <v>2025M004280001</v>
          </cell>
          <cell r="BP6961">
            <v>89</v>
          </cell>
        </row>
        <row r="6962">
          <cell r="B6962">
            <v>2023707420014</v>
          </cell>
          <cell r="BP6962">
            <v>90</v>
          </cell>
        </row>
        <row r="6963">
          <cell r="B6963">
            <v>2025707420003</v>
          </cell>
          <cell r="BP6963">
            <v>100</v>
          </cell>
        </row>
        <row r="6964">
          <cell r="B6964">
            <v>2025707420005</v>
          </cell>
          <cell r="BP6964">
            <v>100</v>
          </cell>
        </row>
        <row r="6965">
          <cell r="B6965">
            <v>2020700010140</v>
          </cell>
          <cell r="BP6965">
            <v>100</v>
          </cell>
        </row>
        <row r="6966">
          <cell r="B6966">
            <v>2023700010053</v>
          </cell>
          <cell r="BP6966">
            <v>100</v>
          </cell>
        </row>
        <row r="6967">
          <cell r="B6967">
            <v>2012000020041</v>
          </cell>
          <cell r="BP6967">
            <v>100</v>
          </cell>
        </row>
        <row r="6968">
          <cell r="B6968">
            <v>2022002700005</v>
          </cell>
          <cell r="BP6968">
            <v>90</v>
          </cell>
        </row>
        <row r="6969">
          <cell r="B6969">
            <v>2023002700029</v>
          </cell>
          <cell r="BP6969">
            <v>90</v>
          </cell>
        </row>
        <row r="6970">
          <cell r="B6970">
            <v>2023002700175</v>
          </cell>
          <cell r="BP6970">
            <v>100</v>
          </cell>
        </row>
      </sheetData>
      <sheetData sheetId="2"/>
      <sheetData sheetId="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C95059C-E8C7-402F-ACB5-3A5EFCDC0A8F}" name="Tabla4" displayName="Tabla4" ref="A1:E26" totalsRowShown="0" headerRowDxfId="37" dataDxfId="35" headerRowBorderDxfId="36" tableBorderDxfId="34" totalsRowBorderDxfId="33">
  <autoFilter ref="A1:E26" xr:uid="{BC95059C-E8C7-402F-ACB5-3A5EFCDC0A8F}"/>
  <tableColumns count="5">
    <tableColumn id="1" xr3:uid="{9F035937-1E8B-4F24-8B80-B1B9E38B09D9}" name="TIPO DE CAMBIO" dataDxfId="32"/>
    <tableColumn id="2" xr3:uid="{269A1A9F-830F-4DD1-884A-2D66D94C0DBF}" name="CAMBIO" dataDxfId="31"/>
    <tableColumn id="3" xr3:uid="{65FD326A-CCAB-4CDD-AFB7-9A7F1FA3BF96}" name="MATRIZ" dataDxfId="30"/>
    <tableColumn id="5" xr3:uid="{2AACFDF5-8DB9-4CEE-BDC7-28F42593E85C}" name="HERRAMIENTA" dataDxfId="29"/>
    <tableColumn id="4" xr3:uid="{5504CFAF-1675-498C-A8A4-9B593D3E6460}" name="REALIZADO" dataDxfId="28"/>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Y58" totalsRowShown="0">
  <autoFilter ref="A2:AY58" xr:uid="{00000000-0009-0000-0100-000001000000}">
    <filterColumn colId="29">
      <customFilters>
        <customFilter operator="notEqual" val=" "/>
      </customFilters>
    </filterColumn>
  </autoFilter>
  <tableColumns count="51">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dataDxfId="43"/>
    <tableColumn id="33" xr3:uid="{00000000-0010-0000-0000-000021000000}" name="INFORMACIÓN RECIBIDA" dataDxfId="42"/>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dataDxfId="41"/>
    <tableColumn id="51" xr3:uid="{493B2C99-BA40-42ED-93C8-452A1A0686E5}" name="PUNTAJE IGPR I TRIMESTRE  2026" dataDxfId="40">
      <calculatedColumnFormula>+INDEX([1]Proyectos!$BP$589:$BP$6970,MATCH(MatrizSeguimientoEvaluacion[[#This Row],[BPIN]],[1]Proyectos!$B$589:$B$6970,0))</calculatedColumnFormula>
    </tableColumn>
    <tableColumn id="49" xr3:uid="{13FEDD79-59CD-4A59-97F8-8DE831491970}" name="RESPONSABLE CARGUE EN GESPROY" dataDxfId="39"/>
    <tableColumn id="50" xr3:uid="{48C91F04-4CAF-4A45-B747-84B4A282868F}" name="MUNICIPIOS" dataDxfId="38"/>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dataDxfId="27">
      <calculatedColumnFormula>+OtrosEjecutoresDescentralizadas[[#This Row],[FECHA DE MIGRACIÓN A GESPROY]]+1</calculatedColumnFormula>
    </tableColumn>
    <tableColumn id="14" xr3:uid="{00000000-0010-0000-0100-00000E000000}" name="FECHA DE INCORPORACIÓN DE RECURSOS" dataDxfId="26"/>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8" xr3:uid="{29D10468-846C-4252-8639-4B1971D4562B}" name="HORIZONTE DEL PROYECTO" dataDxfId="25"/>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dataDxfId="24"/>
    <tableColumn id="39" xr3:uid="{6785897F-8A74-40E4-AF4F-6316EF407269}" name="MUNICIPIOS" dataDxfId="23"/>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dataDxfId="22">
  <autoFilter ref="A2:S104" xr:uid="{00000000-0009-0000-0100-000003000000}"/>
  <tableColumns count="19">
    <tableColumn id="1" xr3:uid="{00000000-0010-0000-0200-000001000000}" name="BPIN" dataDxfId="21"/>
    <tableColumn id="2" xr3:uid="{00000000-0010-0000-0200-000002000000}" name="EJECUTOR" dataDxfId="20"/>
    <tableColumn id="3" xr3:uid="{00000000-0010-0000-0200-000003000000}" name="NOMBRE DEL PROYECTO" dataDxfId="19"/>
    <tableColumn id="4" xr3:uid="{00000000-0010-0000-0200-000004000000}" name="ALCANCE" dataDxfId="18"/>
    <tableColumn id="5" xr3:uid="{00000000-0010-0000-0200-000005000000}" name="SECTOR" dataDxfId="17"/>
    <tableColumn id="6" xr3:uid="{00000000-0010-0000-0200-000006000000}" name="FUENTE" dataDxfId="16"/>
    <tableColumn id="7" xr3:uid="{00000000-0010-0000-0200-000007000000}" name="ESTADO PROYECTO" dataDxfId="15"/>
    <tableColumn id="8" xr3:uid="{00000000-0010-0000-0200-000008000000}" name="ESTADO CONTRATO" dataDxfId="14"/>
    <tableColumn id="9" xr3:uid="{00000000-0010-0000-0200-000009000000}" name="VALOR SGR" dataDxfId="13"/>
    <tableColumn id="10" xr3:uid="{00000000-0010-0000-0200-00000A000000}" name="VALOR OTROS" dataDxfId="12"/>
    <tableColumn id="11" xr3:uid="{00000000-0010-0000-0200-00000B000000}" name="VALOR TOTAL" dataDxfId="11"/>
    <tableColumn id="12" xr3:uid="{00000000-0010-0000-0200-00000C000000}" name="FECHA APROBACIÓN PROYECTO" dataDxfId="10"/>
    <tableColumn id="13" xr3:uid="{00000000-0010-0000-0200-00000D000000}" name="FECHA DE ASIGNACIÓN DE RECURSOS" dataDxfId="9"/>
    <tableColumn id="14" xr3:uid="{00000000-0010-0000-0200-00000E000000}" name="FECHA DE INCORPORACIÓN DE RECURSOS" dataDxfId="8"/>
    <tableColumn id="15" xr3:uid="{00000000-0010-0000-0200-00000F000000}" name="FECHA ACTA INICIO" dataDxfId="7"/>
    <tableColumn id="16" xr3:uid="{00000000-0010-0000-0200-000010000000}" name="AVANCE FÍSICO" dataDxfId="6"/>
    <tableColumn id="17" xr3:uid="{00000000-0010-0000-0200-000011000000}" name="AVANCE FINANCIERO" dataDxfId="5"/>
    <tableColumn id="18" xr3:uid="{00000000-0010-0000-0200-000012000000}" name="COMENTARIOS" dataDxfId="4"/>
    <tableColumn id="19" xr3:uid="{16ABEB75-2678-465B-863F-A3DBDE60C0B6}" name="MUNICIPIOS" dataDxfId="3"/>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534552E-BD7D-4A33-968C-B6B94B218782}" name="BPINesRegalias" displayName="BPINesRegalias" ref="A1:A175" totalsRowShown="0" dataDxfId="2" tableBorderDxfId="1">
  <autoFilter ref="A1:A175" xr:uid="{A534552E-BD7D-4A33-968C-B6B94B218782}"/>
  <tableColumns count="1">
    <tableColumn id="1" xr3:uid="{FE3681F3-8731-487D-967B-7BF4D193E3D4}" name="BPIN" dataDxfId="0"/>
  </tableColumns>
  <tableStyleInfo name="TableStyleLight1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BB839-CD8D-4F7F-BBA8-C26EF6962443}">
  <dimension ref="A1:E26"/>
  <sheetViews>
    <sheetView topLeftCell="A8" workbookViewId="0">
      <selection activeCell="B17" sqref="B17"/>
    </sheetView>
  </sheetViews>
  <sheetFormatPr baseColWidth="10" defaultRowHeight="14.4" x14ac:dyDescent="0.3"/>
  <cols>
    <col min="1" max="1" width="28.88671875" customWidth="1"/>
    <col min="2" max="2" width="28.6640625" customWidth="1"/>
    <col min="3" max="4" width="20.109375" customWidth="1"/>
    <col min="5" max="5" width="28.88671875" customWidth="1"/>
  </cols>
  <sheetData>
    <row r="1" spans="1:5" x14ac:dyDescent="0.3">
      <c r="A1" s="26" t="s">
        <v>805</v>
      </c>
      <c r="B1" s="27" t="s">
        <v>798</v>
      </c>
      <c r="C1" s="27" t="s">
        <v>799</v>
      </c>
      <c r="D1" s="28" t="s">
        <v>832</v>
      </c>
      <c r="E1" s="28" t="s">
        <v>837</v>
      </c>
    </row>
    <row r="2" spans="1:5" x14ac:dyDescent="0.3">
      <c r="A2" s="29" t="s">
        <v>800</v>
      </c>
      <c r="B2" s="30" t="s">
        <v>803</v>
      </c>
      <c r="C2" s="30" t="s">
        <v>801</v>
      </c>
      <c r="D2" s="31" t="s">
        <v>833</v>
      </c>
      <c r="E2" s="31" t="s">
        <v>831</v>
      </c>
    </row>
    <row r="3" spans="1:5" ht="28.8" x14ac:dyDescent="0.3">
      <c r="A3" s="29" t="s">
        <v>800</v>
      </c>
      <c r="B3" s="30" t="s">
        <v>802</v>
      </c>
      <c r="C3" s="30" t="s">
        <v>804</v>
      </c>
      <c r="D3" s="31" t="s">
        <v>833</v>
      </c>
      <c r="E3" s="31" t="s">
        <v>831</v>
      </c>
    </row>
    <row r="4" spans="1:5" ht="43.2" x14ac:dyDescent="0.3">
      <c r="A4" s="29" t="s">
        <v>806</v>
      </c>
      <c r="B4" s="30" t="s">
        <v>807</v>
      </c>
      <c r="C4" s="30"/>
      <c r="D4" s="31" t="s">
        <v>834</v>
      </c>
      <c r="E4" s="31" t="s">
        <v>831</v>
      </c>
    </row>
    <row r="5" spans="1:5" x14ac:dyDescent="0.3">
      <c r="A5" s="29" t="s">
        <v>809</v>
      </c>
      <c r="B5" s="30" t="s">
        <v>810</v>
      </c>
      <c r="C5" s="30"/>
      <c r="D5" s="31" t="s">
        <v>834</v>
      </c>
      <c r="E5" s="31" t="s">
        <v>831</v>
      </c>
    </row>
    <row r="6" spans="1:5" x14ac:dyDescent="0.3">
      <c r="A6" s="29" t="s">
        <v>811</v>
      </c>
      <c r="B6" s="30" t="s">
        <v>812</v>
      </c>
      <c r="C6" s="30"/>
      <c r="D6" s="31" t="s">
        <v>834</v>
      </c>
      <c r="E6" s="31" t="s">
        <v>831</v>
      </c>
    </row>
    <row r="7" spans="1:5" x14ac:dyDescent="0.3">
      <c r="A7" s="29" t="s">
        <v>811</v>
      </c>
      <c r="B7" s="30" t="s">
        <v>813</v>
      </c>
      <c r="C7" s="30"/>
      <c r="D7" s="31" t="s">
        <v>834</v>
      </c>
      <c r="E7" s="31" t="s">
        <v>831</v>
      </c>
    </row>
    <row r="8" spans="1:5" ht="28.8" x14ac:dyDescent="0.3">
      <c r="A8" s="29" t="s">
        <v>811</v>
      </c>
      <c r="B8" s="30" t="s">
        <v>814</v>
      </c>
      <c r="C8" s="30"/>
      <c r="D8" s="31" t="s">
        <v>834</v>
      </c>
      <c r="E8" s="31" t="s">
        <v>831</v>
      </c>
    </row>
    <row r="9" spans="1:5" ht="43.2" x14ac:dyDescent="0.3">
      <c r="A9" s="29" t="s">
        <v>835</v>
      </c>
      <c r="B9" s="29" t="s">
        <v>836</v>
      </c>
      <c r="C9" s="30" t="s">
        <v>823</v>
      </c>
      <c r="D9" s="31" t="s">
        <v>833</v>
      </c>
      <c r="E9" s="31" t="s">
        <v>831</v>
      </c>
    </row>
    <row r="10" spans="1:5" ht="28.8" x14ac:dyDescent="0.3">
      <c r="A10" s="29" t="s">
        <v>800</v>
      </c>
      <c r="B10" s="30" t="s">
        <v>824</v>
      </c>
      <c r="C10" s="30" t="s">
        <v>826</v>
      </c>
      <c r="D10" s="31" t="s">
        <v>834</v>
      </c>
      <c r="E10" s="31" t="s">
        <v>831</v>
      </c>
    </row>
    <row r="11" spans="1:5" ht="28.8" x14ac:dyDescent="0.3">
      <c r="A11" s="29" t="s">
        <v>811</v>
      </c>
      <c r="B11" s="30" t="s">
        <v>825</v>
      </c>
      <c r="C11" s="30" t="s">
        <v>808</v>
      </c>
      <c r="D11" s="31" t="s">
        <v>834</v>
      </c>
      <c r="E11" s="31" t="s">
        <v>831</v>
      </c>
    </row>
    <row r="12" spans="1:5" ht="28.8" x14ac:dyDescent="0.3">
      <c r="A12" s="29" t="s">
        <v>811</v>
      </c>
      <c r="B12" s="30" t="s">
        <v>827</v>
      </c>
      <c r="C12" s="30" t="s">
        <v>808</v>
      </c>
      <c r="D12" s="31" t="s">
        <v>834</v>
      </c>
      <c r="E12" s="31" t="s">
        <v>831</v>
      </c>
    </row>
    <row r="13" spans="1:5" ht="28.8" x14ac:dyDescent="0.3">
      <c r="A13" s="32" t="s">
        <v>811</v>
      </c>
      <c r="B13" s="33" t="s">
        <v>829</v>
      </c>
      <c r="C13" s="33" t="s">
        <v>828</v>
      </c>
      <c r="D13" s="31" t="s">
        <v>834</v>
      </c>
      <c r="E13" s="34" t="s">
        <v>831</v>
      </c>
    </row>
    <row r="14" spans="1:5" ht="28.8" x14ac:dyDescent="0.3">
      <c r="A14" s="32" t="s">
        <v>811</v>
      </c>
      <c r="B14" s="33" t="s">
        <v>942</v>
      </c>
      <c r="C14" s="33" t="s">
        <v>943</v>
      </c>
      <c r="D14" s="34" t="s">
        <v>834</v>
      </c>
      <c r="E14" s="34" t="s">
        <v>944</v>
      </c>
    </row>
    <row r="15" spans="1:5" ht="28.8" x14ac:dyDescent="0.3">
      <c r="A15" s="32" t="s">
        <v>811</v>
      </c>
      <c r="B15" s="33" t="s">
        <v>945</v>
      </c>
      <c r="C15" s="33" t="s">
        <v>808</v>
      </c>
      <c r="D15" s="34" t="s">
        <v>834</v>
      </c>
      <c r="E15" s="34" t="s">
        <v>944</v>
      </c>
    </row>
    <row r="16" spans="1:5" ht="43.2" x14ac:dyDescent="0.3">
      <c r="A16" s="41" t="s">
        <v>811</v>
      </c>
      <c r="B16" s="42" t="s">
        <v>974</v>
      </c>
      <c r="C16" s="42" t="s">
        <v>808</v>
      </c>
      <c r="D16" s="43" t="s">
        <v>834</v>
      </c>
      <c r="E16" s="43" t="s">
        <v>944</v>
      </c>
    </row>
    <row r="17" spans="1:5" ht="28.8" x14ac:dyDescent="0.3">
      <c r="A17" s="32" t="s">
        <v>811</v>
      </c>
      <c r="B17" s="33" t="s">
        <v>975</v>
      </c>
      <c r="C17" s="33" t="s">
        <v>808</v>
      </c>
      <c r="D17" s="34" t="s">
        <v>834</v>
      </c>
      <c r="E17" s="34" t="s">
        <v>944</v>
      </c>
    </row>
    <row r="18" spans="1:5" ht="28.8" x14ac:dyDescent="0.3">
      <c r="A18" s="32" t="s">
        <v>811</v>
      </c>
      <c r="B18" s="33" t="s">
        <v>976</v>
      </c>
      <c r="C18" s="33" t="s">
        <v>808</v>
      </c>
      <c r="D18" s="34" t="s">
        <v>834</v>
      </c>
      <c r="E18" s="34"/>
    </row>
    <row r="19" spans="1:5" ht="43.2" x14ac:dyDescent="0.3">
      <c r="A19" s="32" t="s">
        <v>811</v>
      </c>
      <c r="B19" s="33" t="s">
        <v>977</v>
      </c>
      <c r="C19" s="33" t="s">
        <v>808</v>
      </c>
      <c r="D19" s="34" t="s">
        <v>834</v>
      </c>
      <c r="E19" s="34"/>
    </row>
    <row r="20" spans="1:5" ht="28.8" x14ac:dyDescent="0.3">
      <c r="A20" s="32" t="s">
        <v>811</v>
      </c>
      <c r="B20" s="33" t="s">
        <v>978</v>
      </c>
      <c r="C20" s="33" t="s">
        <v>808</v>
      </c>
      <c r="D20" s="34" t="s">
        <v>834</v>
      </c>
      <c r="E20" s="34"/>
    </row>
    <row r="21" spans="1:5" ht="28.8" x14ac:dyDescent="0.3">
      <c r="A21" s="32" t="s">
        <v>811</v>
      </c>
      <c r="B21" s="33" t="s">
        <v>979</v>
      </c>
      <c r="C21" s="33" t="s">
        <v>808</v>
      </c>
      <c r="D21" s="34" t="s">
        <v>834</v>
      </c>
      <c r="E21" s="34"/>
    </row>
    <row r="22" spans="1:5" ht="43.2" x14ac:dyDescent="0.3">
      <c r="A22" s="32" t="s">
        <v>811</v>
      </c>
      <c r="B22" s="33" t="s">
        <v>980</v>
      </c>
      <c r="C22" s="33" t="s">
        <v>808</v>
      </c>
      <c r="D22" s="34" t="s">
        <v>834</v>
      </c>
      <c r="E22" s="34"/>
    </row>
    <row r="23" spans="1:5" ht="43.2" x14ac:dyDescent="0.3">
      <c r="A23" s="32" t="s">
        <v>811</v>
      </c>
      <c r="B23" s="33" t="s">
        <v>981</v>
      </c>
      <c r="C23" s="33" t="s">
        <v>808</v>
      </c>
      <c r="D23" s="34" t="s">
        <v>834</v>
      </c>
      <c r="E23" s="34"/>
    </row>
    <row r="24" spans="1:5" ht="43.2" x14ac:dyDescent="0.3">
      <c r="A24" s="32"/>
      <c r="B24" s="33" t="s">
        <v>982</v>
      </c>
      <c r="C24" s="33"/>
      <c r="D24" s="34"/>
      <c r="E24" s="34"/>
    </row>
    <row r="25" spans="1:5" ht="43.2" x14ac:dyDescent="0.3">
      <c r="A25" s="32"/>
      <c r="B25" s="33" t="s">
        <v>983</v>
      </c>
      <c r="C25" s="33"/>
      <c r="D25" s="34"/>
      <c r="E25" s="34"/>
    </row>
    <row r="26" spans="1:5" ht="28.8" x14ac:dyDescent="0.3">
      <c r="A26" s="32"/>
      <c r="B26" s="33" t="s">
        <v>984</v>
      </c>
      <c r="C26" s="33"/>
      <c r="D26" s="34"/>
      <c r="E26" s="34"/>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58"/>
  <sheetViews>
    <sheetView tabSelected="1" topLeftCell="A8" zoomScale="70" zoomScaleNormal="70" workbookViewId="0">
      <selection activeCell="AD2" sqref="AD2"/>
    </sheetView>
  </sheetViews>
  <sheetFormatPr baseColWidth="10" defaultColWidth="9.109375" defaultRowHeight="14.4" x14ac:dyDescent="0.3"/>
  <cols>
    <col min="1" max="1" width="29.6640625" customWidth="1"/>
    <col min="2" max="2" width="25.6640625" customWidth="1"/>
    <col min="3" max="3" width="35.33203125" customWidth="1"/>
    <col min="4" max="4" width="46.33203125" customWidth="1"/>
    <col min="5" max="5" width="25.6640625" customWidth="1"/>
    <col min="6" max="6" width="43.33203125" customWidth="1"/>
    <col min="7" max="15" width="25.6640625" customWidth="1"/>
    <col min="16" max="16" width="20.33203125" customWidth="1"/>
    <col min="17" max="17" width="26.6640625" customWidth="1"/>
    <col min="18" max="18" width="29.33203125" customWidth="1"/>
    <col min="19" max="19" width="31.33203125" customWidth="1"/>
    <col min="20" max="20" width="29.88671875" customWidth="1"/>
    <col min="21" max="21" width="21.33203125" customWidth="1"/>
    <col min="22" max="22" width="26.6640625" customWidth="1"/>
    <col min="23" max="31" width="25.6640625" customWidth="1"/>
    <col min="32" max="32" width="65.6640625" customWidth="1"/>
    <col min="33" max="33" width="53.109375" customWidth="1"/>
    <col min="34" max="43" width="25.6640625" customWidth="1"/>
    <col min="44" max="44" width="19.33203125" customWidth="1"/>
    <col min="45" max="47" width="25.6640625" customWidth="1"/>
    <col min="48" max="49" width="42.33203125" customWidth="1"/>
    <col min="50" max="50" width="32.6640625" customWidth="1"/>
    <col min="51" max="51" width="31.5546875" customWidth="1"/>
  </cols>
  <sheetData>
    <row r="1" spans="1:51" ht="39.9" customHeight="1" x14ac:dyDescent="0.3">
      <c r="A1" s="44" t="s">
        <v>0</v>
      </c>
      <c r="B1" s="44"/>
      <c r="C1" s="44"/>
      <c r="D1" s="44"/>
      <c r="E1" s="44"/>
      <c r="F1" s="44"/>
      <c r="G1" s="44"/>
      <c r="H1" s="44"/>
      <c r="I1" s="44"/>
      <c r="J1" s="44"/>
      <c r="K1" s="44"/>
      <c r="L1" s="44"/>
      <c r="M1" s="44"/>
      <c r="N1" s="44"/>
      <c r="O1" s="44"/>
      <c r="P1" s="44"/>
      <c r="Q1" s="44"/>
      <c r="R1" s="44"/>
      <c r="S1" s="44"/>
      <c r="T1" s="44"/>
      <c r="U1" s="45" t="s">
        <v>1</v>
      </c>
      <c r="V1" s="45"/>
      <c r="W1" s="45"/>
      <c r="X1" s="45"/>
      <c r="Y1" s="45"/>
      <c r="Z1" s="45"/>
      <c r="AA1" s="45"/>
      <c r="AB1" s="45"/>
      <c r="AC1" s="45"/>
      <c r="AD1" s="45"/>
      <c r="AE1" s="45"/>
      <c r="AF1" s="45"/>
      <c r="AG1" s="45"/>
      <c r="AH1" s="45"/>
      <c r="AI1" s="45"/>
      <c r="AJ1" s="45"/>
      <c r="AK1" s="45"/>
      <c r="AL1" s="45"/>
      <c r="AM1" s="45"/>
      <c r="AN1" s="45"/>
      <c r="AO1" s="45"/>
      <c r="AP1" s="45"/>
      <c r="AQ1" s="44" t="s">
        <v>2</v>
      </c>
      <c r="AR1" s="44"/>
      <c r="AS1" s="44"/>
      <c r="AT1" s="44"/>
      <c r="AU1" s="44"/>
      <c r="AV1" s="44"/>
      <c r="AW1" s="39"/>
    </row>
    <row r="2" spans="1:51" ht="69.900000000000006"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c r="AW2" s="1" t="s">
        <v>946</v>
      </c>
      <c r="AX2" s="22" t="s">
        <v>815</v>
      </c>
      <c r="AY2" s="22" t="s">
        <v>871</v>
      </c>
    </row>
    <row r="3" spans="1:51" ht="231.75" hidden="1" customHeight="1" x14ac:dyDescent="0.3">
      <c r="A3" s="8">
        <v>2013000100074</v>
      </c>
      <c r="B3" s="3" t="s">
        <v>52</v>
      </c>
      <c r="C3" s="3" t="s">
        <v>77</v>
      </c>
      <c r="D3" s="3" t="s">
        <v>78</v>
      </c>
      <c r="E3" s="3" t="s">
        <v>65</v>
      </c>
      <c r="F3" s="3" t="s">
        <v>79</v>
      </c>
      <c r="G3" s="3" t="s">
        <v>67</v>
      </c>
      <c r="H3" s="3" t="s">
        <v>80</v>
      </c>
      <c r="I3" s="3" t="s">
        <v>68</v>
      </c>
      <c r="J3" s="3" t="s">
        <v>69</v>
      </c>
      <c r="K3" s="4">
        <v>14661580598</v>
      </c>
      <c r="L3" s="4">
        <v>0</v>
      </c>
      <c r="M3" s="4">
        <v>709988000</v>
      </c>
      <c r="N3" s="4">
        <v>0</v>
      </c>
      <c r="O3" s="4">
        <v>15371568598</v>
      </c>
      <c r="P3" s="4">
        <v>14655980598</v>
      </c>
      <c r="Q3" s="5">
        <v>42003</v>
      </c>
      <c r="R3" s="5">
        <v>41563</v>
      </c>
      <c r="S3" s="5">
        <v>41535</v>
      </c>
      <c r="T3" s="5">
        <v>41535</v>
      </c>
      <c r="U3" s="4">
        <v>95.65</v>
      </c>
      <c r="V3" s="4">
        <v>97.17</v>
      </c>
      <c r="W3" s="3">
        <v>0</v>
      </c>
      <c r="X3" s="3">
        <v>0</v>
      </c>
      <c r="Y3" s="5">
        <v>41474</v>
      </c>
      <c r="Z3" s="5">
        <v>41586</v>
      </c>
      <c r="AA3" s="5">
        <v>41586</v>
      </c>
      <c r="AB3" s="5">
        <v>41586</v>
      </c>
      <c r="AC3" s="5">
        <v>45260</v>
      </c>
      <c r="AD3" s="5"/>
      <c r="AE3" s="5">
        <v>46157</v>
      </c>
      <c r="AF3" s="25" t="s">
        <v>81</v>
      </c>
      <c r="AG3" s="3" t="s">
        <v>935</v>
      </c>
      <c r="AH3" s="5">
        <v>46157</v>
      </c>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0</v>
      </c>
      <c r="AQ3" s="3"/>
      <c r="AR3" s="3">
        <f t="shared" ref="AR3:AR34" si="4">IF(ISNUMBER($AH3),IF(DAY($AH3)=10,100,IF(DAY($AH3)=11,80,IF(DAY($AH3)=12,50,0))),"")</f>
        <v>0</v>
      </c>
      <c r="AS3" s="4">
        <v>0</v>
      </c>
      <c r="AT3" s="3">
        <f t="shared" ref="AT3:AT34" si="5">IF($AP3=0,100,IF($AP3=1,90,IF($AP3=2,75,IF($AP3=3,60,IF($AP3=4,50,IF($AP3=5,25,IF($AP3&gt;=6,0,"")))))))</f>
        <v>100</v>
      </c>
      <c r="AU3" s="3">
        <f t="shared" ref="AU3:AU34" si="6">IFERROR(IF(AND($G3="CONTRATADO EN EJECUCIÓN",$AP3&gt;=1),(IFERROR(IF(ISTEXT($AF3),($AL3*0.4+$AM3*0.2+$AO3*0.4),""),""))*$AT3/100,IFERROR(IF(ISTEXT($AF3),($AL3*0.4+$AM3*0.2+$AO3*0.4),""),"")),0)</f>
        <v>40</v>
      </c>
      <c r="AV3" s="25" t="s">
        <v>941</v>
      </c>
      <c r="AW3" s="40">
        <f>+INDEX([1]Proyectos!$BP$589:$BP$6970,MATCH(MatrizSeguimientoEvaluacion[[#This Row],[BPIN]],[1]Proyectos!$B$589:$B$6970,0))</f>
        <v>39</v>
      </c>
      <c r="AX3" s="19" t="s">
        <v>816</v>
      </c>
      <c r="AY3" s="36" t="s">
        <v>841</v>
      </c>
    </row>
    <row r="4" spans="1:51" ht="145.19999999999999" customHeight="1" x14ac:dyDescent="0.3">
      <c r="A4" s="35" t="s">
        <v>103</v>
      </c>
      <c r="B4" s="3" t="s">
        <v>72</v>
      </c>
      <c r="C4" s="3" t="s">
        <v>104</v>
      </c>
      <c r="D4" s="3" t="s">
        <v>105</v>
      </c>
      <c r="E4" s="3" t="s">
        <v>65</v>
      </c>
      <c r="F4" s="3" t="s">
        <v>106</v>
      </c>
      <c r="G4" s="3" t="s">
        <v>57</v>
      </c>
      <c r="H4" s="3" t="s">
        <v>58</v>
      </c>
      <c r="I4" s="3" t="s">
        <v>107</v>
      </c>
      <c r="J4" s="3" t="s">
        <v>69</v>
      </c>
      <c r="K4" s="4">
        <v>15331463849</v>
      </c>
      <c r="L4" s="4">
        <v>0</v>
      </c>
      <c r="M4" s="4">
        <v>201232188</v>
      </c>
      <c r="N4" s="4">
        <v>0</v>
      </c>
      <c r="O4" s="4">
        <v>15532696037</v>
      </c>
      <c r="P4" s="4">
        <v>15173637605</v>
      </c>
      <c r="Q4" s="5">
        <v>44918</v>
      </c>
      <c r="R4" s="5">
        <v>43815</v>
      </c>
      <c r="S4" s="5">
        <v>43790</v>
      </c>
      <c r="T4" s="5">
        <v>43789</v>
      </c>
      <c r="U4" s="4">
        <v>100</v>
      </c>
      <c r="V4" s="4">
        <v>98.98</v>
      </c>
      <c r="W4" s="3"/>
      <c r="X4" s="3"/>
      <c r="Y4" s="5">
        <v>43781</v>
      </c>
      <c r="Z4" s="5">
        <v>43819</v>
      </c>
      <c r="AA4" s="5">
        <v>43826</v>
      </c>
      <c r="AB4" s="5">
        <v>43908</v>
      </c>
      <c r="AC4" s="5">
        <v>44742</v>
      </c>
      <c r="AD4" s="5">
        <v>44742</v>
      </c>
      <c r="AE4" s="5">
        <v>46157</v>
      </c>
      <c r="AF4" s="3" t="s">
        <v>881</v>
      </c>
      <c r="AG4" s="3" t="s">
        <v>882</v>
      </c>
      <c r="AH4" s="5">
        <v>46157</v>
      </c>
      <c r="AI4" s="3"/>
      <c r="AJ4" s="3"/>
      <c r="AK4" s="3"/>
      <c r="AL4" s="3" t="str">
        <f t="shared" si="0"/>
        <v/>
      </c>
      <c r="AM4" s="3" t="str">
        <f t="shared" si="1"/>
        <v/>
      </c>
      <c r="AN4" s="3">
        <f t="shared" si="2"/>
        <v>100</v>
      </c>
      <c r="AO4" s="3" t="str">
        <f t="shared" si="3"/>
        <v/>
      </c>
      <c r="AP4" s="3">
        <v>0</v>
      </c>
      <c r="AQ4" s="3"/>
      <c r="AR4" s="3">
        <f t="shared" si="4"/>
        <v>0</v>
      </c>
      <c r="AS4" s="4">
        <v>0</v>
      </c>
      <c r="AT4" s="3">
        <f t="shared" si="5"/>
        <v>100</v>
      </c>
      <c r="AU4" s="3" t="str">
        <f t="shared" si="6"/>
        <v/>
      </c>
      <c r="AV4" s="3" t="s">
        <v>76</v>
      </c>
      <c r="AW4" s="40"/>
      <c r="AX4" s="18" t="s">
        <v>818</v>
      </c>
      <c r="AY4" s="37" t="s">
        <v>844</v>
      </c>
    </row>
    <row r="5" spans="1:51" ht="121.95" customHeight="1" x14ac:dyDescent="0.3">
      <c r="A5" s="35" t="s">
        <v>160</v>
      </c>
      <c r="B5" s="3" t="s">
        <v>72</v>
      </c>
      <c r="C5" s="3" t="s">
        <v>161</v>
      </c>
      <c r="D5" s="3" t="s">
        <v>162</v>
      </c>
      <c r="E5" s="3" t="s">
        <v>65</v>
      </c>
      <c r="F5" s="3" t="s">
        <v>163</v>
      </c>
      <c r="G5" s="3" t="s">
        <v>57</v>
      </c>
      <c r="H5" s="3" t="s">
        <v>58</v>
      </c>
      <c r="I5" s="3" t="s">
        <v>68</v>
      </c>
      <c r="J5" s="3" t="s">
        <v>154</v>
      </c>
      <c r="K5" s="4">
        <v>1000000000</v>
      </c>
      <c r="L5" s="4">
        <v>0</v>
      </c>
      <c r="M5" s="4">
        <v>30200000</v>
      </c>
      <c r="N5" s="4">
        <v>0</v>
      </c>
      <c r="O5" s="4">
        <v>1030200000</v>
      </c>
      <c r="P5" s="4">
        <v>1000000000</v>
      </c>
      <c r="Q5" s="5">
        <v>45797</v>
      </c>
      <c r="R5" s="5">
        <v>44569</v>
      </c>
      <c r="S5" s="5">
        <v>44556</v>
      </c>
      <c r="T5" s="5">
        <v>44657</v>
      </c>
      <c r="U5" s="4">
        <v>100</v>
      </c>
      <c r="V5" s="4">
        <v>100</v>
      </c>
      <c r="W5" s="3"/>
      <c r="X5" s="3"/>
      <c r="Y5" s="5">
        <v>44552</v>
      </c>
      <c r="Z5" s="5">
        <v>44819</v>
      </c>
      <c r="AA5" s="5">
        <v>44833</v>
      </c>
      <c r="AB5" s="5">
        <v>44925</v>
      </c>
      <c r="AC5" s="5">
        <v>45549</v>
      </c>
      <c r="AD5" s="5">
        <v>45549</v>
      </c>
      <c r="AE5" s="5">
        <v>46157</v>
      </c>
      <c r="AF5" s="3" t="s">
        <v>164</v>
      </c>
      <c r="AG5" s="3" t="s">
        <v>882</v>
      </c>
      <c r="AH5" s="5">
        <v>46157</v>
      </c>
      <c r="AI5" s="3"/>
      <c r="AJ5" s="3"/>
      <c r="AK5" s="3"/>
      <c r="AL5" s="3" t="str">
        <f t="shared" si="0"/>
        <v/>
      </c>
      <c r="AM5" s="3" t="str">
        <f t="shared" si="1"/>
        <v/>
      </c>
      <c r="AN5" s="3">
        <f t="shared" si="2"/>
        <v>100</v>
      </c>
      <c r="AO5" s="3" t="str">
        <f t="shared" si="3"/>
        <v/>
      </c>
      <c r="AP5" s="3">
        <v>1</v>
      </c>
      <c r="AQ5" s="3"/>
      <c r="AR5" s="3">
        <f t="shared" si="4"/>
        <v>0</v>
      </c>
      <c r="AS5" s="4">
        <v>0</v>
      </c>
      <c r="AT5" s="3">
        <f t="shared" si="5"/>
        <v>90</v>
      </c>
      <c r="AU5" s="3" t="str">
        <f t="shared" si="6"/>
        <v/>
      </c>
      <c r="AV5" s="3" t="s">
        <v>76</v>
      </c>
      <c r="AW5" s="40"/>
      <c r="AX5" s="18" t="s">
        <v>816</v>
      </c>
      <c r="AY5" s="37" t="s">
        <v>841</v>
      </c>
    </row>
    <row r="6" spans="1:51" ht="121.5" hidden="1" customHeight="1" x14ac:dyDescent="0.3">
      <c r="A6" s="35" t="s">
        <v>144</v>
      </c>
      <c r="B6" s="3" t="s">
        <v>83</v>
      </c>
      <c r="C6" s="3" t="s">
        <v>145</v>
      </c>
      <c r="D6" s="3" t="s">
        <v>146</v>
      </c>
      <c r="E6" s="3" t="s">
        <v>86</v>
      </c>
      <c r="F6" s="3" t="s">
        <v>147</v>
      </c>
      <c r="G6" s="3" t="s">
        <v>67</v>
      </c>
      <c r="H6" s="3" t="s">
        <v>80</v>
      </c>
      <c r="I6" s="3" t="s">
        <v>88</v>
      </c>
      <c r="J6" s="3" t="s">
        <v>148</v>
      </c>
      <c r="K6" s="4">
        <v>16839824924.799999</v>
      </c>
      <c r="L6" s="4">
        <v>0</v>
      </c>
      <c r="M6" s="4">
        <v>0</v>
      </c>
      <c r="N6" s="4">
        <v>0</v>
      </c>
      <c r="O6" s="4">
        <v>16839824924.799999</v>
      </c>
      <c r="P6" s="4">
        <v>15153097577.860001</v>
      </c>
      <c r="Q6" s="5">
        <v>46020</v>
      </c>
      <c r="R6" s="5">
        <v>45084</v>
      </c>
      <c r="S6" s="5">
        <v>45066</v>
      </c>
      <c r="T6" s="5">
        <v>45100</v>
      </c>
      <c r="U6" s="4">
        <v>97.16</v>
      </c>
      <c r="V6" s="4">
        <v>89.98</v>
      </c>
      <c r="W6" s="3">
        <v>1</v>
      </c>
      <c r="X6" s="3">
        <v>1</v>
      </c>
      <c r="Y6" s="5">
        <v>45064</v>
      </c>
      <c r="Z6" s="5">
        <v>45212</v>
      </c>
      <c r="AA6" s="5">
        <v>45450</v>
      </c>
      <c r="AB6" s="5">
        <v>45469</v>
      </c>
      <c r="AC6" s="5">
        <v>46111</v>
      </c>
      <c r="AD6" s="5"/>
      <c r="AE6" s="5">
        <v>46157</v>
      </c>
      <c r="AF6" s="3" t="s">
        <v>886</v>
      </c>
      <c r="AG6" s="3" t="s">
        <v>887</v>
      </c>
      <c r="AH6" s="5">
        <v>46152</v>
      </c>
      <c r="AI6" s="3"/>
      <c r="AJ6" s="3"/>
      <c r="AK6" s="3"/>
      <c r="AL6" s="3">
        <f t="shared" si="0"/>
        <v>100</v>
      </c>
      <c r="AM6" s="3">
        <f t="shared" si="1"/>
        <v>100</v>
      </c>
      <c r="AN6" s="3">
        <f t="shared" si="2"/>
        <v>100</v>
      </c>
      <c r="AO6" s="3">
        <f t="shared" si="3"/>
        <v>100</v>
      </c>
      <c r="AP6" s="3">
        <v>2</v>
      </c>
      <c r="AQ6" s="3"/>
      <c r="AR6" s="3">
        <f t="shared" si="4"/>
        <v>100</v>
      </c>
      <c r="AS6" s="4">
        <v>100</v>
      </c>
      <c r="AT6" s="3">
        <f t="shared" si="5"/>
        <v>75</v>
      </c>
      <c r="AU6" s="7">
        <f t="shared" si="6"/>
        <v>75</v>
      </c>
      <c r="AV6" s="3" t="s">
        <v>956</v>
      </c>
      <c r="AW6" s="3">
        <v>45</v>
      </c>
      <c r="AX6" s="18" t="s">
        <v>818</v>
      </c>
      <c r="AY6" s="37" t="s">
        <v>849</v>
      </c>
    </row>
    <row r="7" spans="1:51" ht="141.75" hidden="1" customHeight="1" x14ac:dyDescent="0.3">
      <c r="A7" s="21">
        <v>2026002700001</v>
      </c>
      <c r="B7" s="3" t="s">
        <v>83</v>
      </c>
      <c r="C7" s="3" t="s">
        <v>350</v>
      </c>
      <c r="D7" s="3" t="s">
        <v>351</v>
      </c>
      <c r="E7" s="3" t="s">
        <v>86</v>
      </c>
      <c r="F7" s="3" t="s">
        <v>352</v>
      </c>
      <c r="G7" s="3" t="s">
        <v>284</v>
      </c>
      <c r="H7" s="3"/>
      <c r="I7" s="3"/>
      <c r="J7" s="3" t="s">
        <v>353</v>
      </c>
      <c r="K7" s="10">
        <v>15410127474</v>
      </c>
      <c r="L7" s="4">
        <v>0</v>
      </c>
      <c r="M7" s="4">
        <v>0</v>
      </c>
      <c r="N7" s="4">
        <v>0</v>
      </c>
      <c r="O7" s="4">
        <v>15410127474</v>
      </c>
      <c r="P7" s="4">
        <v>0</v>
      </c>
      <c r="Q7" s="5"/>
      <c r="R7" s="5"/>
      <c r="S7" s="5"/>
      <c r="T7" s="5">
        <v>46084</v>
      </c>
      <c r="U7" s="4">
        <v>0</v>
      </c>
      <c r="V7" s="4">
        <v>0</v>
      </c>
      <c r="W7" s="3"/>
      <c r="X7" s="3"/>
      <c r="Y7" s="5">
        <v>46080</v>
      </c>
      <c r="Z7" s="5"/>
      <c r="AA7" s="5"/>
      <c r="AB7" s="5"/>
      <c r="AC7" s="5"/>
      <c r="AD7" s="5"/>
      <c r="AE7" s="5">
        <v>46157</v>
      </c>
      <c r="AF7" s="3" t="s">
        <v>327</v>
      </c>
      <c r="AG7" s="3" t="s">
        <v>927</v>
      </c>
      <c r="AH7" s="5">
        <v>46152</v>
      </c>
      <c r="AI7" s="3">
        <v>47</v>
      </c>
      <c r="AJ7" s="3"/>
      <c r="AK7" s="3"/>
      <c r="AL7" s="3" t="str">
        <f t="shared" si="0"/>
        <v/>
      </c>
      <c r="AM7" s="3" t="str">
        <f t="shared" si="1"/>
        <v/>
      </c>
      <c r="AN7" s="3">
        <f t="shared" si="2"/>
        <v>100</v>
      </c>
      <c r="AO7" s="3" t="str">
        <f t="shared" si="3"/>
        <v/>
      </c>
      <c r="AP7" s="3">
        <v>0</v>
      </c>
      <c r="AQ7" s="3">
        <v>100</v>
      </c>
      <c r="AR7" s="3">
        <f t="shared" si="4"/>
        <v>100</v>
      </c>
      <c r="AS7" s="4">
        <v>100</v>
      </c>
      <c r="AT7" s="3">
        <f t="shared" si="5"/>
        <v>100</v>
      </c>
      <c r="AU7" s="3" t="str">
        <f t="shared" si="6"/>
        <v/>
      </c>
      <c r="AV7" s="3" t="s">
        <v>952</v>
      </c>
      <c r="AW7" s="3">
        <f>+INDEX([1]Proyectos!$BP$589:$BP$6970,MATCH(MatrizSeguimientoEvaluacion[[#This Row],[BPIN]],[1]Proyectos!$B$589:$B$6970,0))</f>
        <v>100</v>
      </c>
      <c r="AX7" s="18" t="s">
        <v>816</v>
      </c>
      <c r="AY7" s="37" t="s">
        <v>870</v>
      </c>
    </row>
    <row r="8" spans="1:51" ht="196.5" customHeight="1" x14ac:dyDescent="0.3">
      <c r="A8" s="3" t="s">
        <v>51</v>
      </c>
      <c r="B8" s="3" t="s">
        <v>52</v>
      </c>
      <c r="C8" s="3" t="s">
        <v>53</v>
      </c>
      <c r="D8" s="3" t="s">
        <v>54</v>
      </c>
      <c r="E8" s="3" t="s">
        <v>55</v>
      </c>
      <c r="F8" s="3" t="s">
        <v>56</v>
      </c>
      <c r="G8" s="3" t="s">
        <v>57</v>
      </c>
      <c r="H8" s="3" t="s">
        <v>58</v>
      </c>
      <c r="I8" s="3" t="s">
        <v>59</v>
      </c>
      <c r="J8" s="3" t="s">
        <v>60</v>
      </c>
      <c r="K8" s="4">
        <v>1548027380</v>
      </c>
      <c r="L8" s="4">
        <v>0</v>
      </c>
      <c r="M8" s="4">
        <v>0</v>
      </c>
      <c r="N8" s="4">
        <v>0</v>
      </c>
      <c r="O8" s="4">
        <v>1548027380</v>
      </c>
      <c r="P8" s="4">
        <v>1141660214</v>
      </c>
      <c r="Q8" s="5">
        <v>44189</v>
      </c>
      <c r="R8" s="5">
        <v>41534</v>
      </c>
      <c r="S8" s="5">
        <v>41202</v>
      </c>
      <c r="T8" s="5">
        <v>41285</v>
      </c>
      <c r="U8" s="4">
        <v>97.19</v>
      </c>
      <c r="V8" s="4">
        <v>73.75</v>
      </c>
      <c r="W8" s="3"/>
      <c r="X8" s="3"/>
      <c r="Y8" s="5">
        <v>41201</v>
      </c>
      <c r="Z8" s="5">
        <v>42237</v>
      </c>
      <c r="AA8" s="5">
        <v>42254</v>
      </c>
      <c r="AB8" s="5">
        <v>42277</v>
      </c>
      <c r="AC8" s="5">
        <v>45260</v>
      </c>
      <c r="AD8" s="5">
        <v>45260</v>
      </c>
      <c r="AE8" s="5">
        <v>46157</v>
      </c>
      <c r="AF8" s="3" t="s">
        <v>936</v>
      </c>
      <c r="AG8" s="3" t="s">
        <v>935</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25" t="s">
        <v>940</v>
      </c>
      <c r="AW8" s="40">
        <v>100</v>
      </c>
      <c r="AX8" s="19" t="s">
        <v>821</v>
      </c>
      <c r="AY8" s="36" t="s">
        <v>840</v>
      </c>
    </row>
    <row r="9" spans="1:51" ht="156.75" hidden="1" customHeight="1" x14ac:dyDescent="0.3">
      <c r="A9" s="35" t="s">
        <v>172</v>
      </c>
      <c r="B9" s="3" t="s">
        <v>83</v>
      </c>
      <c r="C9" s="3" t="s">
        <v>173</v>
      </c>
      <c r="D9" s="3" t="s">
        <v>174</v>
      </c>
      <c r="E9" s="3" t="s">
        <v>175</v>
      </c>
      <c r="F9" s="3" t="s">
        <v>176</v>
      </c>
      <c r="G9" s="3" t="s">
        <v>67</v>
      </c>
      <c r="H9" s="3" t="s">
        <v>80</v>
      </c>
      <c r="I9" s="3" t="s">
        <v>88</v>
      </c>
      <c r="J9" s="3" t="s">
        <v>148</v>
      </c>
      <c r="K9" s="4">
        <v>24245749081.080002</v>
      </c>
      <c r="L9" s="4">
        <v>0</v>
      </c>
      <c r="M9" s="4">
        <v>0</v>
      </c>
      <c r="N9" s="4">
        <v>0</v>
      </c>
      <c r="O9" s="4">
        <v>24245749081.080002</v>
      </c>
      <c r="P9" s="4">
        <v>17972770186.490002</v>
      </c>
      <c r="Q9" s="5">
        <v>46057</v>
      </c>
      <c r="R9" s="5">
        <v>45084</v>
      </c>
      <c r="S9" s="5">
        <v>45066</v>
      </c>
      <c r="T9" s="5">
        <v>45105</v>
      </c>
      <c r="U9" s="4">
        <v>66.650000000000006</v>
      </c>
      <c r="V9" s="4">
        <v>74.13</v>
      </c>
      <c r="W9" s="3">
        <v>1</v>
      </c>
      <c r="X9" s="3">
        <v>0.93</v>
      </c>
      <c r="Y9" s="5">
        <v>45064</v>
      </c>
      <c r="Z9" s="5">
        <v>45546</v>
      </c>
      <c r="AA9" s="5">
        <v>45649</v>
      </c>
      <c r="AB9" s="5">
        <v>45714</v>
      </c>
      <c r="AC9" s="5">
        <v>46106</v>
      </c>
      <c r="AD9" s="5"/>
      <c r="AE9" s="5">
        <v>46157</v>
      </c>
      <c r="AF9" s="3" t="s">
        <v>891</v>
      </c>
      <c r="AG9" s="3" t="s">
        <v>892</v>
      </c>
      <c r="AH9" s="5">
        <v>46152</v>
      </c>
      <c r="AI9" s="3"/>
      <c r="AJ9" s="3"/>
      <c r="AK9" s="3"/>
      <c r="AL9" s="3">
        <f t="shared" si="0"/>
        <v>100</v>
      </c>
      <c r="AM9" s="3">
        <f t="shared" si="1"/>
        <v>100</v>
      </c>
      <c r="AN9" s="3">
        <f t="shared" si="2"/>
        <v>100</v>
      </c>
      <c r="AO9" s="3">
        <f t="shared" si="3"/>
        <v>100</v>
      </c>
      <c r="AP9" s="3">
        <v>1</v>
      </c>
      <c r="AQ9" s="3"/>
      <c r="AR9" s="3">
        <f t="shared" si="4"/>
        <v>100</v>
      </c>
      <c r="AS9" s="4">
        <v>90</v>
      </c>
      <c r="AT9" s="3">
        <f t="shared" si="5"/>
        <v>90</v>
      </c>
      <c r="AU9" s="7">
        <f t="shared" si="6"/>
        <v>90</v>
      </c>
      <c r="AV9" s="9" t="s">
        <v>957</v>
      </c>
      <c r="AW9" s="3">
        <v>90</v>
      </c>
      <c r="AX9" s="18" t="s">
        <v>821</v>
      </c>
      <c r="AY9" s="37" t="s">
        <v>840</v>
      </c>
    </row>
    <row r="10" spans="1:51" ht="113.4" customHeight="1" x14ac:dyDescent="0.3">
      <c r="A10" s="3" t="s">
        <v>71</v>
      </c>
      <c r="B10" s="3" t="s">
        <v>72</v>
      </c>
      <c r="C10" s="3" t="s">
        <v>73</v>
      </c>
      <c r="D10" s="3" t="s">
        <v>74</v>
      </c>
      <c r="E10" s="3" t="s">
        <v>65</v>
      </c>
      <c r="F10" s="3" t="s">
        <v>75</v>
      </c>
      <c r="G10" s="3" t="s">
        <v>57</v>
      </c>
      <c r="H10" s="3" t="s">
        <v>58</v>
      </c>
      <c r="I10" s="3" t="s">
        <v>68</v>
      </c>
      <c r="J10" s="3" t="s">
        <v>69</v>
      </c>
      <c r="K10" s="4">
        <v>4081742194</v>
      </c>
      <c r="L10" s="4">
        <v>0</v>
      </c>
      <c r="M10" s="4">
        <v>1551552044</v>
      </c>
      <c r="N10" s="4">
        <v>0</v>
      </c>
      <c r="O10" s="4">
        <v>5633294238</v>
      </c>
      <c r="P10" s="4">
        <v>3947804318</v>
      </c>
      <c r="Q10" s="5">
        <v>43782</v>
      </c>
      <c r="R10" s="5">
        <v>41576</v>
      </c>
      <c r="S10" s="5">
        <v>41566</v>
      </c>
      <c r="T10" s="5">
        <v>41596</v>
      </c>
      <c r="U10" s="4">
        <v>98.69</v>
      </c>
      <c r="V10" s="4">
        <v>94.36</v>
      </c>
      <c r="W10" s="3"/>
      <c r="X10" s="3"/>
      <c r="Y10" s="5">
        <v>41565</v>
      </c>
      <c r="Z10" s="5">
        <v>41907</v>
      </c>
      <c r="AA10" s="5">
        <v>41908</v>
      </c>
      <c r="AB10" s="5">
        <v>42038</v>
      </c>
      <c r="AC10" s="5">
        <v>44561</v>
      </c>
      <c r="AD10" s="5">
        <v>45689</v>
      </c>
      <c r="AE10" s="5">
        <v>46157</v>
      </c>
      <c r="AF10" s="3" t="s">
        <v>877</v>
      </c>
      <c r="AG10" s="3" t="s">
        <v>878</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76</v>
      </c>
      <c r="AW10" s="3"/>
      <c r="AX10" s="18" t="s">
        <v>816</v>
      </c>
      <c r="AY10" s="37" t="s">
        <v>840</v>
      </c>
    </row>
    <row r="11" spans="1:51" ht="133.94999999999999" customHeight="1" x14ac:dyDescent="0.3">
      <c r="A11" s="3" t="s">
        <v>82</v>
      </c>
      <c r="B11" s="3" t="s">
        <v>83</v>
      </c>
      <c r="C11" s="3" t="s">
        <v>84</v>
      </c>
      <c r="D11" s="3" t="s">
        <v>85</v>
      </c>
      <c r="E11" s="3" t="s">
        <v>86</v>
      </c>
      <c r="F11" s="3" t="s">
        <v>87</v>
      </c>
      <c r="G11" s="3" t="s">
        <v>57</v>
      </c>
      <c r="H11" s="3" t="s">
        <v>58</v>
      </c>
      <c r="I11" s="3" t="s">
        <v>88</v>
      </c>
      <c r="J11" s="3" t="s">
        <v>89</v>
      </c>
      <c r="K11" s="4">
        <v>30476618849</v>
      </c>
      <c r="L11" s="4">
        <v>0</v>
      </c>
      <c r="M11" s="4">
        <v>422485223</v>
      </c>
      <c r="N11" s="4">
        <v>0</v>
      </c>
      <c r="O11" s="4">
        <v>30899104072</v>
      </c>
      <c r="P11" s="4">
        <v>30240028841.950001</v>
      </c>
      <c r="Q11" s="5">
        <v>45434</v>
      </c>
      <c r="R11" s="5">
        <v>42662</v>
      </c>
      <c r="S11" s="5">
        <v>42658</v>
      </c>
      <c r="T11" s="5">
        <v>42746</v>
      </c>
      <c r="U11" s="4">
        <v>100</v>
      </c>
      <c r="V11" s="4">
        <v>97.87</v>
      </c>
      <c r="W11" s="3"/>
      <c r="X11" s="3"/>
      <c r="Y11" s="5">
        <v>42657</v>
      </c>
      <c r="Z11" s="5">
        <v>42909</v>
      </c>
      <c r="AA11" s="5">
        <v>42986</v>
      </c>
      <c r="AB11" s="5">
        <v>43207</v>
      </c>
      <c r="AC11" s="5">
        <v>45527</v>
      </c>
      <c r="AD11" s="5">
        <v>45527</v>
      </c>
      <c r="AE11" s="5">
        <v>46157</v>
      </c>
      <c r="AF11" s="3" t="s">
        <v>938</v>
      </c>
      <c r="AG11" s="3" t="s">
        <v>879</v>
      </c>
      <c r="AH11" s="5">
        <v>46152</v>
      </c>
      <c r="AI11" s="3"/>
      <c r="AJ11" s="3"/>
      <c r="AK11" s="3"/>
      <c r="AL11" s="3" t="str">
        <f t="shared" si="0"/>
        <v/>
      </c>
      <c r="AM11" s="3" t="str">
        <f t="shared" si="1"/>
        <v/>
      </c>
      <c r="AN11" s="3">
        <f t="shared" si="2"/>
        <v>100</v>
      </c>
      <c r="AO11" s="3" t="str">
        <f t="shared" si="3"/>
        <v/>
      </c>
      <c r="AP11" s="3">
        <v>1</v>
      </c>
      <c r="AQ11" s="3"/>
      <c r="AR11" s="3">
        <f t="shared" si="4"/>
        <v>100</v>
      </c>
      <c r="AS11" s="4">
        <v>50</v>
      </c>
      <c r="AT11" s="3">
        <f t="shared" si="5"/>
        <v>90</v>
      </c>
      <c r="AU11" s="3" t="str">
        <f t="shared" si="6"/>
        <v/>
      </c>
      <c r="AV11" s="3" t="s">
        <v>953</v>
      </c>
      <c r="AW11" s="3"/>
      <c r="AX11" s="18" t="s">
        <v>817</v>
      </c>
      <c r="AY11" s="37" t="s">
        <v>842</v>
      </c>
    </row>
    <row r="12" spans="1:51" ht="69.900000000000006" customHeight="1" x14ac:dyDescent="0.3">
      <c r="A12" s="3" t="s">
        <v>90</v>
      </c>
      <c r="B12" s="3" t="s">
        <v>52</v>
      </c>
      <c r="C12" s="3" t="s">
        <v>91</v>
      </c>
      <c r="D12" s="3" t="s">
        <v>92</v>
      </c>
      <c r="E12" s="3" t="s">
        <v>65</v>
      </c>
      <c r="F12" s="3" t="s">
        <v>93</v>
      </c>
      <c r="G12" s="3" t="s">
        <v>57</v>
      </c>
      <c r="H12" s="3" t="s">
        <v>94</v>
      </c>
      <c r="I12" s="3" t="s">
        <v>68</v>
      </c>
      <c r="J12" s="3" t="s">
        <v>95</v>
      </c>
      <c r="K12" s="4">
        <v>11741345301</v>
      </c>
      <c r="L12" s="4">
        <v>0</v>
      </c>
      <c r="M12" s="4">
        <v>265600000</v>
      </c>
      <c r="N12" s="4">
        <v>0</v>
      </c>
      <c r="O12" s="4">
        <v>12006945301</v>
      </c>
      <c r="P12" s="4">
        <v>11473460596.700001</v>
      </c>
      <c r="Q12" s="5">
        <v>44868</v>
      </c>
      <c r="R12" s="5">
        <v>43019</v>
      </c>
      <c r="S12" s="5">
        <v>42914</v>
      </c>
      <c r="T12" s="5">
        <v>42823</v>
      </c>
      <c r="U12" s="4">
        <v>100</v>
      </c>
      <c r="V12" s="4">
        <v>97.77</v>
      </c>
      <c r="W12" s="3"/>
      <c r="X12" s="3"/>
      <c r="Y12" s="5">
        <v>42801</v>
      </c>
      <c r="Z12" s="5">
        <v>43048</v>
      </c>
      <c r="AA12" s="5">
        <v>43095</v>
      </c>
      <c r="AB12" s="5">
        <v>43280</v>
      </c>
      <c r="AC12" s="5">
        <v>44926</v>
      </c>
      <c r="AD12" s="5">
        <v>44926</v>
      </c>
      <c r="AE12" s="5">
        <v>46157</v>
      </c>
      <c r="AF12" s="3" t="s">
        <v>936</v>
      </c>
      <c r="AG12" s="3" t="s">
        <v>935</v>
      </c>
      <c r="AH12" s="5">
        <v>46157</v>
      </c>
      <c r="AI12" s="3"/>
      <c r="AJ12" s="3"/>
      <c r="AK12" s="3"/>
      <c r="AL12" s="3" t="str">
        <f t="shared" si="0"/>
        <v/>
      </c>
      <c r="AM12" s="3" t="str">
        <f t="shared" si="1"/>
        <v/>
      </c>
      <c r="AN12" s="3">
        <f t="shared" si="2"/>
        <v>100</v>
      </c>
      <c r="AO12" s="3" t="str">
        <f t="shared" si="3"/>
        <v/>
      </c>
      <c r="AP12" s="3">
        <v>0</v>
      </c>
      <c r="AQ12" s="3"/>
      <c r="AR12" s="3">
        <f t="shared" si="4"/>
        <v>0</v>
      </c>
      <c r="AS12" s="4">
        <v>0</v>
      </c>
      <c r="AT12" s="3">
        <f t="shared" si="5"/>
        <v>100</v>
      </c>
      <c r="AU12" s="3" t="str">
        <f t="shared" si="6"/>
        <v/>
      </c>
      <c r="AV12" s="25" t="s">
        <v>96</v>
      </c>
      <c r="AW12" s="3"/>
      <c r="AX12" s="18" t="s">
        <v>821</v>
      </c>
      <c r="AY12" s="37" t="s">
        <v>841</v>
      </c>
    </row>
    <row r="13" spans="1:51" ht="234.6" hidden="1" customHeight="1" x14ac:dyDescent="0.3">
      <c r="A13" s="35" t="s">
        <v>223</v>
      </c>
      <c r="B13" s="3" t="s">
        <v>83</v>
      </c>
      <c r="C13" s="3" t="s">
        <v>224</v>
      </c>
      <c r="D13" s="3" t="s">
        <v>225</v>
      </c>
      <c r="E13" s="3" t="s">
        <v>86</v>
      </c>
      <c r="F13" s="3" t="s">
        <v>226</v>
      </c>
      <c r="G13" s="3" t="s">
        <v>67</v>
      </c>
      <c r="H13" s="3" t="s">
        <v>80</v>
      </c>
      <c r="I13" s="3" t="s">
        <v>88</v>
      </c>
      <c r="J13" s="3" t="s">
        <v>227</v>
      </c>
      <c r="K13" s="4">
        <v>10940798931</v>
      </c>
      <c r="L13" s="4">
        <v>0</v>
      </c>
      <c r="M13" s="4">
        <v>0</v>
      </c>
      <c r="N13" s="4">
        <v>0</v>
      </c>
      <c r="O13" s="4">
        <v>10940798931</v>
      </c>
      <c r="P13" s="4">
        <v>8111861155.8900003</v>
      </c>
      <c r="Q13" s="5">
        <v>46108</v>
      </c>
      <c r="R13" s="5">
        <v>45474</v>
      </c>
      <c r="S13" s="5">
        <v>45472</v>
      </c>
      <c r="T13" s="5">
        <v>45490</v>
      </c>
      <c r="U13" s="4">
        <v>64.930000000000007</v>
      </c>
      <c r="V13" s="4">
        <v>74.14</v>
      </c>
      <c r="W13" s="3">
        <v>1</v>
      </c>
      <c r="X13" s="3">
        <v>0.97</v>
      </c>
      <c r="Y13" s="5">
        <v>45471</v>
      </c>
      <c r="Z13" s="5">
        <v>45573</v>
      </c>
      <c r="AA13" s="5">
        <v>45793</v>
      </c>
      <c r="AB13" s="5">
        <v>45847</v>
      </c>
      <c r="AC13" s="5">
        <v>46151</v>
      </c>
      <c r="AD13" s="5"/>
      <c r="AE13" s="5">
        <v>46157</v>
      </c>
      <c r="AF13" s="3" t="s">
        <v>899</v>
      </c>
      <c r="AG13" s="3" t="s">
        <v>900</v>
      </c>
      <c r="AH13" s="5">
        <v>46152</v>
      </c>
      <c r="AI13" s="3"/>
      <c r="AJ13" s="3"/>
      <c r="AK13" s="3"/>
      <c r="AL13" s="3">
        <f t="shared" si="0"/>
        <v>100</v>
      </c>
      <c r="AM13" s="3">
        <f t="shared" si="1"/>
        <v>100</v>
      </c>
      <c r="AN13" s="3">
        <f t="shared" si="2"/>
        <v>100</v>
      </c>
      <c r="AO13" s="3">
        <f t="shared" si="3"/>
        <v>100</v>
      </c>
      <c r="AP13" s="3">
        <v>0</v>
      </c>
      <c r="AQ13" s="3"/>
      <c r="AR13" s="3">
        <f t="shared" si="4"/>
        <v>100</v>
      </c>
      <c r="AS13" s="4">
        <v>100</v>
      </c>
      <c r="AT13" s="3">
        <f t="shared" si="5"/>
        <v>100</v>
      </c>
      <c r="AU13" s="7">
        <f t="shared" si="6"/>
        <v>100</v>
      </c>
      <c r="AV13" s="9" t="s">
        <v>228</v>
      </c>
      <c r="AW13" s="3">
        <v>100</v>
      </c>
      <c r="AX13" s="18" t="s">
        <v>817</v>
      </c>
      <c r="AY13" s="37" t="s">
        <v>840</v>
      </c>
    </row>
    <row r="14" spans="1:51" ht="69.900000000000006" customHeight="1" x14ac:dyDescent="0.3">
      <c r="A14" s="3" t="s">
        <v>108</v>
      </c>
      <c r="B14" s="3" t="s">
        <v>72</v>
      </c>
      <c r="C14" s="3" t="s">
        <v>109</v>
      </c>
      <c r="D14" s="3" t="s">
        <v>110</v>
      </c>
      <c r="E14" s="3" t="s">
        <v>65</v>
      </c>
      <c r="F14" s="3" t="s">
        <v>111</v>
      </c>
      <c r="G14" s="3" t="s">
        <v>57</v>
      </c>
      <c r="H14" s="3" t="s">
        <v>58</v>
      </c>
      <c r="I14" s="3" t="s">
        <v>68</v>
      </c>
      <c r="J14" s="3" t="s">
        <v>69</v>
      </c>
      <c r="K14" s="4">
        <v>14300800098.139999</v>
      </c>
      <c r="L14" s="4">
        <v>0</v>
      </c>
      <c r="M14" s="4">
        <v>493878438</v>
      </c>
      <c r="N14" s="4">
        <v>0</v>
      </c>
      <c r="O14" s="4">
        <v>14794678536.139999</v>
      </c>
      <c r="P14" s="4">
        <v>13948285627.540001</v>
      </c>
      <c r="Q14" s="5">
        <v>44839</v>
      </c>
      <c r="R14" s="5">
        <v>43348</v>
      </c>
      <c r="S14" s="5">
        <v>43323</v>
      </c>
      <c r="T14" s="5">
        <v>43385</v>
      </c>
      <c r="U14" s="4">
        <v>97.37</v>
      </c>
      <c r="V14" s="4">
        <v>97.61</v>
      </c>
      <c r="W14" s="3"/>
      <c r="X14" s="3"/>
      <c r="Y14" s="5">
        <v>43322</v>
      </c>
      <c r="Z14" s="5">
        <v>43444</v>
      </c>
      <c r="AA14" s="5">
        <v>43508</v>
      </c>
      <c r="AB14" s="5">
        <v>43543</v>
      </c>
      <c r="AC14" s="5">
        <v>44592</v>
      </c>
      <c r="AD14" s="5">
        <v>44592</v>
      </c>
      <c r="AE14" s="5">
        <v>46157</v>
      </c>
      <c r="AF14" s="3" t="s">
        <v>883</v>
      </c>
      <c r="AG14" s="3" t="s">
        <v>882</v>
      </c>
      <c r="AH14" s="5">
        <v>46157</v>
      </c>
      <c r="AI14" s="3"/>
      <c r="AJ14" s="3"/>
      <c r="AK14" s="3"/>
      <c r="AL14" s="3" t="str">
        <f t="shared" si="0"/>
        <v/>
      </c>
      <c r="AM14" s="3" t="str">
        <f t="shared" si="1"/>
        <v/>
      </c>
      <c r="AN14" s="3">
        <f t="shared" si="2"/>
        <v>100</v>
      </c>
      <c r="AO14" s="3">
        <f t="shared" si="3"/>
        <v>100</v>
      </c>
      <c r="AP14" s="3">
        <v>0</v>
      </c>
      <c r="AQ14" s="3"/>
      <c r="AR14" s="3">
        <f t="shared" si="4"/>
        <v>0</v>
      </c>
      <c r="AS14" s="4">
        <v>0</v>
      </c>
      <c r="AT14" s="3">
        <f t="shared" si="5"/>
        <v>100</v>
      </c>
      <c r="AU14" s="3" t="str">
        <f t="shared" si="6"/>
        <v/>
      </c>
      <c r="AV14" s="3" t="s">
        <v>76</v>
      </c>
      <c r="AW14" s="3"/>
      <c r="AX14" s="18" t="s">
        <v>816</v>
      </c>
      <c r="AY14" s="37" t="s">
        <v>845</v>
      </c>
    </row>
    <row r="15" spans="1:51" ht="69.900000000000006" customHeight="1" x14ac:dyDescent="0.3">
      <c r="A15" s="3" t="s">
        <v>112</v>
      </c>
      <c r="B15" s="3" t="s">
        <v>83</v>
      </c>
      <c r="C15" s="3" t="s">
        <v>113</v>
      </c>
      <c r="D15" s="3" t="s">
        <v>114</v>
      </c>
      <c r="E15" s="3" t="s">
        <v>86</v>
      </c>
      <c r="F15" s="3" t="s">
        <v>115</v>
      </c>
      <c r="G15" s="3" t="s">
        <v>57</v>
      </c>
      <c r="H15" s="3" t="s">
        <v>58</v>
      </c>
      <c r="I15" s="3" t="s">
        <v>88</v>
      </c>
      <c r="J15" s="3" t="s">
        <v>116</v>
      </c>
      <c r="K15" s="4">
        <v>66912604863.639999</v>
      </c>
      <c r="L15" s="4">
        <v>0</v>
      </c>
      <c r="M15" s="4">
        <v>0</v>
      </c>
      <c r="N15" s="4">
        <v>0</v>
      </c>
      <c r="O15" s="4">
        <v>66912604863.639999</v>
      </c>
      <c r="P15" s="4">
        <v>65182688683.440002</v>
      </c>
      <c r="Q15" s="5">
        <v>45653</v>
      </c>
      <c r="R15" s="5">
        <v>43433</v>
      </c>
      <c r="S15" s="5">
        <v>43224</v>
      </c>
      <c r="T15" s="5">
        <v>43613</v>
      </c>
      <c r="U15" s="4">
        <v>99.61</v>
      </c>
      <c r="V15" s="4">
        <v>97.41</v>
      </c>
      <c r="W15" s="3"/>
      <c r="X15" s="3"/>
      <c r="Y15" s="5">
        <v>43193</v>
      </c>
      <c r="Z15" s="5">
        <v>43628</v>
      </c>
      <c r="AA15" s="5">
        <v>43753</v>
      </c>
      <c r="AB15" s="5">
        <v>43781</v>
      </c>
      <c r="AC15" s="5">
        <v>45351</v>
      </c>
      <c r="AD15" s="5">
        <v>45351</v>
      </c>
      <c r="AE15" s="5">
        <v>46157</v>
      </c>
      <c r="AF15" s="3" t="s">
        <v>117</v>
      </c>
      <c r="AG15" s="3" t="s">
        <v>118</v>
      </c>
      <c r="AH15" s="5">
        <v>46152</v>
      </c>
      <c r="AI15" s="3"/>
      <c r="AJ15" s="3"/>
      <c r="AK15" s="3"/>
      <c r="AL15" s="3" t="str">
        <f t="shared" si="0"/>
        <v/>
      </c>
      <c r="AM15" s="3" t="str">
        <f t="shared" si="1"/>
        <v/>
      </c>
      <c r="AN15" s="3">
        <f t="shared" si="2"/>
        <v>100</v>
      </c>
      <c r="AO15" s="3" t="str">
        <f t="shared" si="3"/>
        <v/>
      </c>
      <c r="AP15" s="3">
        <v>0</v>
      </c>
      <c r="AQ15" s="3"/>
      <c r="AR15" s="3">
        <f t="shared" si="4"/>
        <v>100</v>
      </c>
      <c r="AS15" s="4">
        <v>0</v>
      </c>
      <c r="AT15" s="3">
        <f t="shared" si="5"/>
        <v>100</v>
      </c>
      <c r="AU15" s="3" t="str">
        <f t="shared" si="6"/>
        <v/>
      </c>
      <c r="AV15" s="3" t="s">
        <v>119</v>
      </c>
      <c r="AW15" s="3"/>
      <c r="AX15" s="18" t="s">
        <v>818</v>
      </c>
      <c r="AY15" s="37" t="s">
        <v>846</v>
      </c>
    </row>
    <row r="16" spans="1:51" ht="69.900000000000006" hidden="1" customHeight="1" x14ac:dyDescent="0.3">
      <c r="A16" s="3">
        <v>2023002700134</v>
      </c>
      <c r="B16" s="3" t="s">
        <v>83</v>
      </c>
      <c r="C16" s="3" t="s">
        <v>246</v>
      </c>
      <c r="D16" s="3" t="s">
        <v>247</v>
      </c>
      <c r="E16" s="3" t="s">
        <v>86</v>
      </c>
      <c r="F16" s="3" t="s">
        <v>248</v>
      </c>
      <c r="G16" s="3" t="s">
        <v>67</v>
      </c>
      <c r="H16" s="3" t="s">
        <v>80</v>
      </c>
      <c r="I16" s="3" t="s">
        <v>88</v>
      </c>
      <c r="J16" s="3" t="s">
        <v>89</v>
      </c>
      <c r="K16" s="4">
        <v>23521931236</v>
      </c>
      <c r="L16" s="4">
        <v>0</v>
      </c>
      <c r="M16" s="4">
        <v>30000000000</v>
      </c>
      <c r="N16" s="4">
        <v>0</v>
      </c>
      <c r="O16" s="4">
        <v>53521931236</v>
      </c>
      <c r="P16" s="4">
        <v>1825143890</v>
      </c>
      <c r="Q16" s="5">
        <v>46078</v>
      </c>
      <c r="R16" s="5">
        <v>45508</v>
      </c>
      <c r="S16" s="5">
        <v>45506</v>
      </c>
      <c r="T16" s="5">
        <v>45505</v>
      </c>
      <c r="U16" s="4">
        <v>4</v>
      </c>
      <c r="V16" s="4">
        <v>2.77</v>
      </c>
      <c r="W16" s="3">
        <v>1</v>
      </c>
      <c r="X16" s="3">
        <v>0.71</v>
      </c>
      <c r="Y16" s="5">
        <v>45505</v>
      </c>
      <c r="Z16" s="5"/>
      <c r="AA16" s="5">
        <v>45953</v>
      </c>
      <c r="AB16" s="5">
        <v>45967</v>
      </c>
      <c r="AC16" s="5">
        <v>46727</v>
      </c>
      <c r="AD16" s="5"/>
      <c r="AE16" s="5">
        <v>46157</v>
      </c>
      <c r="AF16" s="3" t="s">
        <v>903</v>
      </c>
      <c r="AG16" s="3" t="s">
        <v>904</v>
      </c>
      <c r="AH16" s="5">
        <v>46152</v>
      </c>
      <c r="AI16" s="3"/>
      <c r="AJ16" s="3"/>
      <c r="AK16" s="3"/>
      <c r="AL16" s="3">
        <f t="shared" si="0"/>
        <v>71.739130434782609</v>
      </c>
      <c r="AM16" s="3">
        <f t="shared" si="1"/>
        <v>100</v>
      </c>
      <c r="AN16" s="3">
        <f t="shared" si="2"/>
        <v>100</v>
      </c>
      <c r="AO16" s="3">
        <f t="shared" si="3"/>
        <v>100</v>
      </c>
      <c r="AP16" s="3">
        <v>0</v>
      </c>
      <c r="AQ16" s="3"/>
      <c r="AR16" s="3">
        <f t="shared" si="4"/>
        <v>100</v>
      </c>
      <c r="AS16" s="4">
        <v>100</v>
      </c>
      <c r="AT16" s="3">
        <f t="shared" si="5"/>
        <v>100</v>
      </c>
      <c r="AU16" s="7">
        <f t="shared" si="6"/>
        <v>88.695652173913047</v>
      </c>
      <c r="AV16" s="3" t="s">
        <v>249</v>
      </c>
      <c r="AW16" s="3">
        <v>100</v>
      </c>
      <c r="AX16" s="18" t="s">
        <v>818</v>
      </c>
      <c r="AY16" s="37" t="s">
        <v>858</v>
      </c>
    </row>
    <row r="17" spans="1:51" ht="109.2" customHeight="1" x14ac:dyDescent="0.3">
      <c r="A17" s="3" t="s">
        <v>129</v>
      </c>
      <c r="B17" s="3" t="s">
        <v>83</v>
      </c>
      <c r="C17" s="3" t="s">
        <v>130</v>
      </c>
      <c r="D17" s="3" t="s">
        <v>131</v>
      </c>
      <c r="E17" s="3" t="s">
        <v>86</v>
      </c>
      <c r="F17" s="3" t="s">
        <v>132</v>
      </c>
      <c r="G17" s="3" t="s">
        <v>57</v>
      </c>
      <c r="H17" s="3" t="s">
        <v>58</v>
      </c>
      <c r="I17" s="3" t="s">
        <v>59</v>
      </c>
      <c r="J17" s="3" t="s">
        <v>89</v>
      </c>
      <c r="K17" s="4">
        <v>4457416400</v>
      </c>
      <c r="L17" s="4">
        <v>0</v>
      </c>
      <c r="M17" s="4">
        <v>0</v>
      </c>
      <c r="N17" s="4">
        <v>0</v>
      </c>
      <c r="O17" s="4">
        <v>4457416400</v>
      </c>
      <c r="P17" s="4">
        <v>4434194362.5</v>
      </c>
      <c r="Q17" s="5">
        <v>45656</v>
      </c>
      <c r="R17" s="5">
        <v>44199</v>
      </c>
      <c r="S17" s="5">
        <v>44196</v>
      </c>
      <c r="T17" s="5">
        <v>44239</v>
      </c>
      <c r="U17" s="4">
        <v>100</v>
      </c>
      <c r="V17" s="4">
        <v>99.48</v>
      </c>
      <c r="W17" s="3"/>
      <c r="X17" s="3"/>
      <c r="Y17" s="5">
        <v>44195</v>
      </c>
      <c r="Z17" s="5">
        <v>44376</v>
      </c>
      <c r="AA17" s="5">
        <v>44410</v>
      </c>
      <c r="AB17" s="5">
        <v>44504</v>
      </c>
      <c r="AC17" s="5">
        <v>45577</v>
      </c>
      <c r="AD17" s="5">
        <v>45577</v>
      </c>
      <c r="AE17" s="5">
        <v>46157</v>
      </c>
      <c r="AF17" s="3" t="s">
        <v>939</v>
      </c>
      <c r="AG17" s="3" t="s">
        <v>954</v>
      </c>
      <c r="AH17" s="5">
        <v>46152</v>
      </c>
      <c r="AI17" s="3"/>
      <c r="AJ17" s="3"/>
      <c r="AK17" s="3"/>
      <c r="AL17" s="3" t="str">
        <f t="shared" si="0"/>
        <v/>
      </c>
      <c r="AM17" s="3" t="str">
        <f t="shared" si="1"/>
        <v/>
      </c>
      <c r="AN17" s="3">
        <f t="shared" si="2"/>
        <v>100</v>
      </c>
      <c r="AO17" s="3" t="str">
        <f t="shared" si="3"/>
        <v/>
      </c>
      <c r="AP17" s="3">
        <v>1</v>
      </c>
      <c r="AQ17" s="3"/>
      <c r="AR17" s="3">
        <f t="shared" si="4"/>
        <v>100</v>
      </c>
      <c r="AS17" s="4">
        <v>0</v>
      </c>
      <c r="AT17" s="3">
        <f t="shared" si="5"/>
        <v>90</v>
      </c>
      <c r="AU17" s="3" t="str">
        <f t="shared" si="6"/>
        <v/>
      </c>
      <c r="AV17" s="3" t="s">
        <v>955</v>
      </c>
      <c r="AW17" s="3"/>
      <c r="AX17" s="18" t="s">
        <v>817</v>
      </c>
      <c r="AY17" s="37" t="s">
        <v>847</v>
      </c>
    </row>
    <row r="18" spans="1:51" ht="69.900000000000006" hidden="1" customHeight="1" x14ac:dyDescent="0.3">
      <c r="A18" s="3">
        <v>2023002700171</v>
      </c>
      <c r="B18" s="3" t="s">
        <v>83</v>
      </c>
      <c r="C18" s="3" t="s">
        <v>255</v>
      </c>
      <c r="D18" s="3" t="s">
        <v>256</v>
      </c>
      <c r="E18" s="3" t="s">
        <v>186</v>
      </c>
      <c r="F18" s="3" t="s">
        <v>257</v>
      </c>
      <c r="G18" s="3" t="s">
        <v>67</v>
      </c>
      <c r="H18" s="3" t="s">
        <v>80</v>
      </c>
      <c r="I18" s="3" t="s">
        <v>88</v>
      </c>
      <c r="J18" s="3" t="s">
        <v>258</v>
      </c>
      <c r="K18" s="4">
        <v>10877971203</v>
      </c>
      <c r="L18" s="4">
        <v>0</v>
      </c>
      <c r="M18" s="4">
        <v>0</v>
      </c>
      <c r="N18" s="4">
        <v>0</v>
      </c>
      <c r="O18" s="4">
        <v>10877971203</v>
      </c>
      <c r="P18" s="4">
        <v>6973821945.6599998</v>
      </c>
      <c r="Q18" s="5">
        <v>46072</v>
      </c>
      <c r="R18" s="5">
        <v>45301</v>
      </c>
      <c r="S18" s="5">
        <v>45291</v>
      </c>
      <c r="T18" s="5">
        <v>45290</v>
      </c>
      <c r="U18" s="4">
        <v>51.81</v>
      </c>
      <c r="V18" s="4">
        <v>64.11</v>
      </c>
      <c r="W18" s="3">
        <v>1</v>
      </c>
      <c r="X18" s="3">
        <v>0.7</v>
      </c>
      <c r="Y18" s="5">
        <v>45290</v>
      </c>
      <c r="Z18" s="5">
        <v>45411</v>
      </c>
      <c r="AA18" s="5">
        <v>45573</v>
      </c>
      <c r="AB18" s="5">
        <v>45616</v>
      </c>
      <c r="AC18" s="5">
        <v>46177</v>
      </c>
      <c r="AD18" s="5"/>
      <c r="AE18" s="5">
        <v>46157</v>
      </c>
      <c r="AF18" s="3" t="s">
        <v>903</v>
      </c>
      <c r="AG18" s="3" t="s">
        <v>951</v>
      </c>
      <c r="AH18" s="5">
        <v>46152</v>
      </c>
      <c r="AI18" s="3"/>
      <c r="AJ18" s="3"/>
      <c r="AK18" s="3"/>
      <c r="AL18" s="3">
        <f t="shared" si="0"/>
        <v>69.565217391304344</v>
      </c>
      <c r="AM18" s="3">
        <f t="shared" si="1"/>
        <v>100</v>
      </c>
      <c r="AN18" s="3">
        <f t="shared" si="2"/>
        <v>100</v>
      </c>
      <c r="AO18" s="3">
        <f t="shared" si="3"/>
        <v>100</v>
      </c>
      <c r="AP18" s="3">
        <v>1</v>
      </c>
      <c r="AQ18" s="3"/>
      <c r="AR18" s="3">
        <f t="shared" si="4"/>
        <v>100</v>
      </c>
      <c r="AS18" s="4">
        <v>100</v>
      </c>
      <c r="AT18" s="3">
        <f t="shared" si="5"/>
        <v>90</v>
      </c>
      <c r="AU18" s="7">
        <f t="shared" si="6"/>
        <v>79.043478260869563</v>
      </c>
      <c r="AV18" s="9" t="s">
        <v>259</v>
      </c>
      <c r="AW18" s="3">
        <v>90</v>
      </c>
      <c r="AX18" s="18" t="s">
        <v>817</v>
      </c>
      <c r="AY18" s="37" t="s">
        <v>840</v>
      </c>
    </row>
    <row r="19" spans="1:51" ht="69.900000000000006" customHeight="1" x14ac:dyDescent="0.3">
      <c r="A19" s="3" t="s">
        <v>138</v>
      </c>
      <c r="B19" s="3" t="s">
        <v>72</v>
      </c>
      <c r="C19" s="3" t="s">
        <v>139</v>
      </c>
      <c r="D19" s="3" t="s">
        <v>140</v>
      </c>
      <c r="E19" s="3" t="s">
        <v>123</v>
      </c>
      <c r="F19" s="3" t="s">
        <v>141</v>
      </c>
      <c r="G19" s="3" t="s">
        <v>57</v>
      </c>
      <c r="H19" s="3" t="s">
        <v>58</v>
      </c>
      <c r="I19" s="3" t="s">
        <v>142</v>
      </c>
      <c r="J19" s="3" t="s">
        <v>89</v>
      </c>
      <c r="K19" s="4">
        <v>1582195518</v>
      </c>
      <c r="L19" s="4">
        <v>0</v>
      </c>
      <c r="M19" s="4">
        <v>0</v>
      </c>
      <c r="N19" s="4">
        <v>0</v>
      </c>
      <c r="O19" s="4">
        <v>1582195518</v>
      </c>
      <c r="P19" s="4">
        <v>1581551844.8</v>
      </c>
      <c r="Q19" s="5">
        <v>45358</v>
      </c>
      <c r="R19" s="5">
        <v>44737</v>
      </c>
      <c r="S19" s="5">
        <v>44729</v>
      </c>
      <c r="T19" s="5">
        <v>44774</v>
      </c>
      <c r="U19" s="4">
        <v>96.75</v>
      </c>
      <c r="V19" s="4">
        <v>99.96</v>
      </c>
      <c r="W19" s="3"/>
      <c r="X19" s="3"/>
      <c r="Y19" s="5">
        <v>44728</v>
      </c>
      <c r="Z19" s="5">
        <v>44854</v>
      </c>
      <c r="AA19" s="5">
        <v>44902</v>
      </c>
      <c r="AB19" s="5">
        <v>44980</v>
      </c>
      <c r="AC19" s="5">
        <v>45287</v>
      </c>
      <c r="AD19" s="5">
        <v>45287</v>
      </c>
      <c r="AE19" s="5">
        <v>46157</v>
      </c>
      <c r="AF19" s="3" t="s">
        <v>143</v>
      </c>
      <c r="AG19" s="3" t="s">
        <v>882</v>
      </c>
      <c r="AH19" s="5">
        <v>46157</v>
      </c>
      <c r="AI19" s="3"/>
      <c r="AJ19" s="3"/>
      <c r="AK19" s="3"/>
      <c r="AL19" s="3" t="str">
        <f t="shared" si="0"/>
        <v/>
      </c>
      <c r="AM19" s="3" t="str">
        <f t="shared" si="1"/>
        <v/>
      </c>
      <c r="AN19" s="3">
        <f t="shared" si="2"/>
        <v>100</v>
      </c>
      <c r="AO19" s="3">
        <f t="shared" si="3"/>
        <v>100</v>
      </c>
      <c r="AP19" s="3">
        <v>0</v>
      </c>
      <c r="AQ19" s="3"/>
      <c r="AR19" s="3">
        <f t="shared" si="4"/>
        <v>0</v>
      </c>
      <c r="AS19" s="4">
        <v>0</v>
      </c>
      <c r="AT19" s="3">
        <f t="shared" si="5"/>
        <v>100</v>
      </c>
      <c r="AU19" s="3" t="str">
        <f t="shared" si="6"/>
        <v/>
      </c>
      <c r="AV19" s="3" t="s">
        <v>76</v>
      </c>
      <c r="AW19" s="3"/>
      <c r="AX19" s="18" t="s">
        <v>818</v>
      </c>
      <c r="AY19" s="37" t="s">
        <v>848</v>
      </c>
    </row>
    <row r="20" spans="1:51" ht="69.900000000000006" hidden="1" customHeight="1" x14ac:dyDescent="0.3">
      <c r="A20" s="9">
        <v>2023002700177</v>
      </c>
      <c r="B20" s="3" t="s">
        <v>83</v>
      </c>
      <c r="C20" s="3" t="s">
        <v>267</v>
      </c>
      <c r="D20" s="9" t="s">
        <v>268</v>
      </c>
      <c r="E20" s="9" t="s">
        <v>238</v>
      </c>
      <c r="F20" s="9" t="s">
        <v>269</v>
      </c>
      <c r="G20" s="9" t="s">
        <v>67</v>
      </c>
      <c r="H20" s="3" t="s">
        <v>80</v>
      </c>
      <c r="I20" s="3" t="s">
        <v>59</v>
      </c>
      <c r="J20" s="3" t="s">
        <v>89</v>
      </c>
      <c r="K20" s="4">
        <v>2401226400</v>
      </c>
      <c r="L20" s="4">
        <v>0</v>
      </c>
      <c r="M20" s="4">
        <v>0</v>
      </c>
      <c r="N20" s="4">
        <v>0</v>
      </c>
      <c r="O20" s="4">
        <v>2401226400</v>
      </c>
      <c r="P20" s="4">
        <v>899593080</v>
      </c>
      <c r="Q20" s="5">
        <v>46041</v>
      </c>
      <c r="R20" s="5">
        <v>45759</v>
      </c>
      <c r="S20" s="5">
        <v>45757</v>
      </c>
      <c r="T20" s="5">
        <v>45770</v>
      </c>
      <c r="U20" s="4">
        <v>42.44</v>
      </c>
      <c r="V20" s="4">
        <v>37.46</v>
      </c>
      <c r="W20" s="3">
        <v>1</v>
      </c>
      <c r="X20" s="3">
        <v>0.69</v>
      </c>
      <c r="Y20" s="5">
        <v>45756</v>
      </c>
      <c r="Z20" s="5">
        <v>45917</v>
      </c>
      <c r="AA20" s="5">
        <v>45994</v>
      </c>
      <c r="AB20" s="5">
        <v>46006</v>
      </c>
      <c r="AC20" s="5">
        <v>46198</v>
      </c>
      <c r="AD20" s="5"/>
      <c r="AE20" s="5">
        <v>46157</v>
      </c>
      <c r="AF20" s="3" t="s">
        <v>908</v>
      </c>
      <c r="AG20" s="3" t="s">
        <v>909</v>
      </c>
      <c r="AH20" s="5">
        <v>46152</v>
      </c>
      <c r="AI20" s="3"/>
      <c r="AJ20" s="3"/>
      <c r="AK20" s="3"/>
      <c r="AL20" s="3">
        <f t="shared" si="0"/>
        <v>67.391304347826079</v>
      </c>
      <c r="AM20" s="3">
        <f t="shared" si="1"/>
        <v>100</v>
      </c>
      <c r="AN20" s="3">
        <f t="shared" si="2"/>
        <v>100</v>
      </c>
      <c r="AO20" s="3">
        <f t="shared" si="3"/>
        <v>100</v>
      </c>
      <c r="AP20" s="3">
        <v>0</v>
      </c>
      <c r="AQ20" s="3"/>
      <c r="AR20" s="3">
        <f t="shared" si="4"/>
        <v>100</v>
      </c>
      <c r="AS20" s="4">
        <v>100</v>
      </c>
      <c r="AT20" s="3">
        <f t="shared" si="5"/>
        <v>100</v>
      </c>
      <c r="AU20" s="7">
        <f t="shared" si="6"/>
        <v>86.956521739130437</v>
      </c>
      <c r="AV20" s="9" t="s">
        <v>270</v>
      </c>
      <c r="AW20" s="3">
        <v>98.4</v>
      </c>
      <c r="AX20" s="18" t="s">
        <v>817</v>
      </c>
      <c r="AY20" s="37" t="s">
        <v>860</v>
      </c>
    </row>
    <row r="21" spans="1:51" ht="69.900000000000006" hidden="1" customHeight="1" x14ac:dyDescent="0.3">
      <c r="A21" s="3">
        <v>2024002700066</v>
      </c>
      <c r="B21" s="3" t="s">
        <v>230</v>
      </c>
      <c r="C21" s="3" t="s">
        <v>272</v>
      </c>
      <c r="D21" s="3" t="s">
        <v>273</v>
      </c>
      <c r="E21" s="3" t="s">
        <v>233</v>
      </c>
      <c r="F21" s="3" t="s">
        <v>274</v>
      </c>
      <c r="G21" s="3" t="s">
        <v>67</v>
      </c>
      <c r="H21" s="3" t="s">
        <v>80</v>
      </c>
      <c r="I21" s="3" t="s">
        <v>68</v>
      </c>
      <c r="J21" s="3" t="s">
        <v>189</v>
      </c>
      <c r="K21" s="4">
        <v>1207242704</v>
      </c>
      <c r="L21" s="4">
        <v>0</v>
      </c>
      <c r="M21" s="4">
        <v>219361128</v>
      </c>
      <c r="N21" s="4">
        <v>0</v>
      </c>
      <c r="O21" s="4">
        <v>1426603832</v>
      </c>
      <c r="P21" s="4">
        <v>943448256</v>
      </c>
      <c r="Q21" s="5">
        <v>45994</v>
      </c>
      <c r="R21" s="5">
        <v>45590</v>
      </c>
      <c r="S21" s="5">
        <v>45583</v>
      </c>
      <c r="T21" s="5">
        <v>45636</v>
      </c>
      <c r="U21" s="4">
        <v>99.87</v>
      </c>
      <c r="V21" s="4">
        <v>66.13</v>
      </c>
      <c r="W21" s="3">
        <v>0</v>
      </c>
      <c r="X21" s="3">
        <v>0</v>
      </c>
      <c r="Y21" s="5">
        <v>45582</v>
      </c>
      <c r="Z21" s="5">
        <v>45754</v>
      </c>
      <c r="AA21" s="5">
        <v>45762</v>
      </c>
      <c r="AB21" s="5">
        <v>45793</v>
      </c>
      <c r="AC21" s="5">
        <v>46127</v>
      </c>
      <c r="AD21" s="5"/>
      <c r="AE21" s="5">
        <v>46157</v>
      </c>
      <c r="AF21" s="3" t="s">
        <v>971</v>
      </c>
      <c r="AG21" s="3" t="s">
        <v>910</v>
      </c>
      <c r="AH21" s="5">
        <v>46152</v>
      </c>
      <c r="AI21" s="3"/>
      <c r="AJ21" s="3"/>
      <c r="AK21" s="3"/>
      <c r="AL21" s="3">
        <f t="shared" si="0"/>
        <v>0</v>
      </c>
      <c r="AM21" s="3">
        <f t="shared" si="1"/>
        <v>0</v>
      </c>
      <c r="AN21" s="3">
        <f t="shared" si="2"/>
        <v>100</v>
      </c>
      <c r="AO21" s="3">
        <f t="shared" si="3"/>
        <v>100</v>
      </c>
      <c r="AP21" s="3">
        <v>1</v>
      </c>
      <c r="AQ21" s="3"/>
      <c r="AR21" s="3">
        <f t="shared" si="4"/>
        <v>100</v>
      </c>
      <c r="AS21" s="4">
        <v>100</v>
      </c>
      <c r="AT21" s="3">
        <f t="shared" si="5"/>
        <v>90</v>
      </c>
      <c r="AU21" s="3">
        <f t="shared" si="6"/>
        <v>36</v>
      </c>
      <c r="AV21" s="9" t="s">
        <v>275</v>
      </c>
      <c r="AW21" s="3">
        <v>90</v>
      </c>
      <c r="AX21" s="18" t="s">
        <v>818</v>
      </c>
      <c r="AY21" s="37" t="s">
        <v>861</v>
      </c>
    </row>
    <row r="22" spans="1:51" ht="69.900000000000006" hidden="1" customHeight="1" x14ac:dyDescent="0.3">
      <c r="A22" s="3">
        <v>2024002700151</v>
      </c>
      <c r="B22" s="3" t="s">
        <v>230</v>
      </c>
      <c r="C22" s="3" t="s">
        <v>277</v>
      </c>
      <c r="D22" s="3" t="s">
        <v>278</v>
      </c>
      <c r="E22" s="3" t="s">
        <v>233</v>
      </c>
      <c r="F22" s="3" t="s">
        <v>274</v>
      </c>
      <c r="G22" s="3" t="s">
        <v>67</v>
      </c>
      <c r="H22" s="3" t="s">
        <v>80</v>
      </c>
      <c r="I22" s="3" t="s">
        <v>68</v>
      </c>
      <c r="J22" s="3" t="s">
        <v>89</v>
      </c>
      <c r="K22" s="4">
        <v>7025611116</v>
      </c>
      <c r="L22" s="4">
        <v>0</v>
      </c>
      <c r="M22" s="4">
        <v>633276980</v>
      </c>
      <c r="N22" s="4">
        <v>0</v>
      </c>
      <c r="O22" s="4">
        <v>7658888096</v>
      </c>
      <c r="P22" s="4">
        <v>3764560164.6999998</v>
      </c>
      <c r="Q22" s="5">
        <v>46106</v>
      </c>
      <c r="R22" s="5">
        <v>45674</v>
      </c>
      <c r="S22" s="5">
        <v>45649</v>
      </c>
      <c r="T22" s="5">
        <v>45649</v>
      </c>
      <c r="U22" s="4">
        <v>66.55</v>
      </c>
      <c r="V22" s="4">
        <v>49.15</v>
      </c>
      <c r="W22" s="3">
        <v>1</v>
      </c>
      <c r="X22" s="3">
        <v>0.84</v>
      </c>
      <c r="Y22" s="5">
        <v>45649</v>
      </c>
      <c r="Z22" s="5"/>
      <c r="AA22" s="5">
        <v>45813</v>
      </c>
      <c r="AB22" s="5">
        <v>45869</v>
      </c>
      <c r="AC22" s="5">
        <v>46234</v>
      </c>
      <c r="AD22" s="5"/>
      <c r="AE22" s="5">
        <v>46157</v>
      </c>
      <c r="AF22" s="3" t="s">
        <v>911</v>
      </c>
      <c r="AG22" s="3" t="s">
        <v>912</v>
      </c>
      <c r="AH22" s="5">
        <v>46152</v>
      </c>
      <c r="AI22" s="3"/>
      <c r="AJ22" s="3"/>
      <c r="AK22" s="3"/>
      <c r="AL22" s="3">
        <f t="shared" si="0"/>
        <v>100</v>
      </c>
      <c r="AM22" s="3">
        <f t="shared" si="1"/>
        <v>100</v>
      </c>
      <c r="AN22" s="3">
        <f t="shared" si="2"/>
        <v>100</v>
      </c>
      <c r="AO22" s="3">
        <f t="shared" si="3"/>
        <v>100</v>
      </c>
      <c r="AP22" s="3">
        <v>0</v>
      </c>
      <c r="AQ22" s="3"/>
      <c r="AR22" s="3">
        <f t="shared" si="4"/>
        <v>100</v>
      </c>
      <c r="AS22" s="4">
        <v>100</v>
      </c>
      <c r="AT22" s="3">
        <f t="shared" si="5"/>
        <v>100</v>
      </c>
      <c r="AU22" s="3">
        <f t="shared" si="6"/>
        <v>100</v>
      </c>
      <c r="AV22" s="9" t="s">
        <v>279</v>
      </c>
      <c r="AW22" s="3">
        <v>94.8</v>
      </c>
      <c r="AX22" s="18" t="s">
        <v>821</v>
      </c>
      <c r="AY22" s="37" t="s">
        <v>862</v>
      </c>
    </row>
    <row r="23" spans="1:51" ht="193.2" hidden="1" customHeight="1" x14ac:dyDescent="0.3">
      <c r="A23" s="3">
        <v>2024002700177</v>
      </c>
      <c r="B23" s="3" t="s">
        <v>83</v>
      </c>
      <c r="C23" s="3" t="s">
        <v>291</v>
      </c>
      <c r="D23" s="3" t="s">
        <v>292</v>
      </c>
      <c r="E23" s="3" t="s">
        <v>293</v>
      </c>
      <c r="F23" s="3" t="s">
        <v>294</v>
      </c>
      <c r="G23" s="3" t="s">
        <v>67</v>
      </c>
      <c r="H23" s="3" t="s">
        <v>80</v>
      </c>
      <c r="I23" s="3" t="s">
        <v>295</v>
      </c>
      <c r="J23" s="3" t="s">
        <v>296</v>
      </c>
      <c r="K23" s="4">
        <v>1135083847</v>
      </c>
      <c r="L23" s="4">
        <v>10000000000</v>
      </c>
      <c r="M23" s="4">
        <v>0</v>
      </c>
      <c r="N23" s="4">
        <v>0</v>
      </c>
      <c r="O23" s="4">
        <v>11135083847</v>
      </c>
      <c r="P23" s="4">
        <v>169010310</v>
      </c>
      <c r="Q23" s="5">
        <v>45924</v>
      </c>
      <c r="R23" s="5">
        <v>45639</v>
      </c>
      <c r="S23" s="5">
        <v>45638</v>
      </c>
      <c r="T23" s="5">
        <v>45649</v>
      </c>
      <c r="U23" s="4">
        <v>1.72</v>
      </c>
      <c r="V23" s="4">
        <v>1.52</v>
      </c>
      <c r="W23" s="3">
        <v>1</v>
      </c>
      <c r="X23" s="3">
        <v>0.36</v>
      </c>
      <c r="Y23" s="5">
        <v>45637</v>
      </c>
      <c r="Z23" s="5"/>
      <c r="AA23" s="5">
        <v>45806</v>
      </c>
      <c r="AB23" s="5">
        <v>45818</v>
      </c>
      <c r="AC23" s="5">
        <v>46354</v>
      </c>
      <c r="AD23" s="5"/>
      <c r="AE23" s="5">
        <v>46157</v>
      </c>
      <c r="AF23" s="3" t="s">
        <v>916</v>
      </c>
      <c r="AG23" s="3" t="s">
        <v>917</v>
      </c>
      <c r="AH23" s="5">
        <v>46152</v>
      </c>
      <c r="AI23" s="3"/>
      <c r="AJ23" s="3"/>
      <c r="AK23" s="3"/>
      <c r="AL23" s="3">
        <f t="shared" si="0"/>
        <v>0</v>
      </c>
      <c r="AM23" s="3">
        <f t="shared" si="1"/>
        <v>100</v>
      </c>
      <c r="AN23" s="3">
        <f t="shared" si="2"/>
        <v>100</v>
      </c>
      <c r="AO23" s="3">
        <f t="shared" si="3"/>
        <v>100</v>
      </c>
      <c r="AP23" s="3">
        <v>0</v>
      </c>
      <c r="AQ23" s="3"/>
      <c r="AR23" s="3">
        <f t="shared" si="4"/>
        <v>100</v>
      </c>
      <c r="AS23" s="4">
        <v>100</v>
      </c>
      <c r="AT23" s="3">
        <f t="shared" si="5"/>
        <v>100</v>
      </c>
      <c r="AU23" s="7">
        <f t="shared" si="6"/>
        <v>60</v>
      </c>
      <c r="AV23" s="9" t="s">
        <v>297</v>
      </c>
      <c r="AW23" s="3">
        <v>79.2</v>
      </c>
      <c r="AX23" s="18" t="s">
        <v>818</v>
      </c>
      <c r="AY23" s="37" t="s">
        <v>864</v>
      </c>
    </row>
    <row r="24" spans="1:51" ht="106.95" hidden="1" customHeight="1" x14ac:dyDescent="0.3">
      <c r="A24" s="3">
        <v>2024002700184</v>
      </c>
      <c r="B24" s="3" t="s">
        <v>72</v>
      </c>
      <c r="C24" s="3" t="s">
        <v>306</v>
      </c>
      <c r="D24" s="3" t="s">
        <v>307</v>
      </c>
      <c r="E24" s="3" t="s">
        <v>123</v>
      </c>
      <c r="F24" s="3" t="s">
        <v>308</v>
      </c>
      <c r="G24" s="3" t="s">
        <v>67</v>
      </c>
      <c r="H24" s="3" t="s">
        <v>80</v>
      </c>
      <c r="I24" s="3" t="s">
        <v>295</v>
      </c>
      <c r="J24" s="3" t="s">
        <v>89</v>
      </c>
      <c r="K24" s="4">
        <v>2653691597.3099999</v>
      </c>
      <c r="L24" s="4">
        <v>0</v>
      </c>
      <c r="M24" s="4">
        <v>929670814</v>
      </c>
      <c r="N24" s="4">
        <v>0</v>
      </c>
      <c r="O24" s="4">
        <v>3583362411.3099999</v>
      </c>
      <c r="P24" s="4">
        <v>1797652076</v>
      </c>
      <c r="Q24" s="5">
        <v>46112</v>
      </c>
      <c r="R24" s="5">
        <v>45658</v>
      </c>
      <c r="S24" s="5">
        <v>45652</v>
      </c>
      <c r="T24" s="5">
        <v>45653</v>
      </c>
      <c r="U24" s="4">
        <v>76.989999999999995</v>
      </c>
      <c r="V24" s="4">
        <v>67.569999999999993</v>
      </c>
      <c r="W24" s="3">
        <v>1</v>
      </c>
      <c r="X24" s="3">
        <v>0.82</v>
      </c>
      <c r="Y24" s="5">
        <v>45650</v>
      </c>
      <c r="Z24" s="5">
        <v>45798</v>
      </c>
      <c r="AA24" s="5">
        <v>45805</v>
      </c>
      <c r="AB24" s="5">
        <v>45960</v>
      </c>
      <c r="AC24" s="5">
        <v>46139</v>
      </c>
      <c r="AD24" s="5"/>
      <c r="AE24" s="5">
        <v>46157</v>
      </c>
      <c r="AF24" s="3" t="s">
        <v>920</v>
      </c>
      <c r="AG24" s="3" t="s">
        <v>921</v>
      </c>
      <c r="AH24" s="5">
        <v>46152</v>
      </c>
      <c r="AI24" s="3"/>
      <c r="AJ24" s="3"/>
      <c r="AK24" s="3"/>
      <c r="AL24" s="3">
        <f t="shared" si="0"/>
        <v>95.65217391304347</v>
      </c>
      <c r="AM24" s="3">
        <f t="shared" si="1"/>
        <v>100</v>
      </c>
      <c r="AN24" s="3">
        <f t="shared" si="2"/>
        <v>100</v>
      </c>
      <c r="AO24" s="3">
        <f t="shared" si="3"/>
        <v>100</v>
      </c>
      <c r="AP24" s="3">
        <v>1</v>
      </c>
      <c r="AQ24" s="3"/>
      <c r="AR24" s="3">
        <f t="shared" si="4"/>
        <v>100</v>
      </c>
      <c r="AS24" s="4">
        <v>100</v>
      </c>
      <c r="AT24" s="3">
        <f t="shared" si="5"/>
        <v>90</v>
      </c>
      <c r="AU24" s="3">
        <f t="shared" si="6"/>
        <v>88.434782608695656</v>
      </c>
      <c r="AV24" s="9" t="s">
        <v>950</v>
      </c>
      <c r="AW24" s="3">
        <v>90</v>
      </c>
      <c r="AX24" s="18" t="s">
        <v>818</v>
      </c>
      <c r="AY24" s="37" t="s">
        <v>841</v>
      </c>
    </row>
    <row r="25" spans="1:51" ht="69.900000000000006" customHeight="1" x14ac:dyDescent="0.3">
      <c r="A25" s="3" t="s">
        <v>177</v>
      </c>
      <c r="B25" s="3" t="s">
        <v>83</v>
      </c>
      <c r="C25" s="3" t="s">
        <v>178</v>
      </c>
      <c r="D25" s="3" t="s">
        <v>179</v>
      </c>
      <c r="E25" s="3" t="s">
        <v>86</v>
      </c>
      <c r="F25" s="3" t="s">
        <v>180</v>
      </c>
      <c r="G25" s="3" t="s">
        <v>181</v>
      </c>
      <c r="H25" s="3" t="s">
        <v>94</v>
      </c>
      <c r="I25" s="3" t="s">
        <v>88</v>
      </c>
      <c r="J25" s="3" t="s">
        <v>89</v>
      </c>
      <c r="K25" s="4">
        <v>1498986578.77</v>
      </c>
      <c r="L25" s="4">
        <v>0</v>
      </c>
      <c r="M25" s="4">
        <v>0</v>
      </c>
      <c r="N25" s="4">
        <v>0</v>
      </c>
      <c r="O25" s="4">
        <v>1498986578.77</v>
      </c>
      <c r="P25" s="4">
        <v>1471824308.05</v>
      </c>
      <c r="Q25" s="5">
        <v>45750</v>
      </c>
      <c r="R25" s="5">
        <v>44510</v>
      </c>
      <c r="S25" s="5">
        <v>44509</v>
      </c>
      <c r="T25" s="5">
        <v>44510</v>
      </c>
      <c r="U25" s="4">
        <v>98.19</v>
      </c>
      <c r="V25" s="4">
        <v>98.19</v>
      </c>
      <c r="W25" s="3"/>
      <c r="X25" s="3"/>
      <c r="Y25" s="5">
        <v>44508</v>
      </c>
      <c r="Z25" s="5">
        <v>44581</v>
      </c>
      <c r="AA25" s="5">
        <v>44817</v>
      </c>
      <c r="AB25" s="5">
        <v>44869</v>
      </c>
      <c r="AC25" s="5">
        <v>45407</v>
      </c>
      <c r="AD25" s="5">
        <v>45407</v>
      </c>
      <c r="AE25" s="5">
        <v>46157</v>
      </c>
      <c r="AF25" s="3"/>
      <c r="AG25" s="3"/>
      <c r="AH25" s="5">
        <v>46152</v>
      </c>
      <c r="AI25" s="3"/>
      <c r="AJ25" s="3"/>
      <c r="AK25" s="3"/>
      <c r="AL25" s="3" t="str">
        <f t="shared" si="0"/>
        <v/>
      </c>
      <c r="AM25" s="3" t="str">
        <f t="shared" si="1"/>
        <v/>
      </c>
      <c r="AN25" s="3">
        <f t="shared" si="2"/>
        <v>100</v>
      </c>
      <c r="AO25" s="3" t="str">
        <f t="shared" si="3"/>
        <v/>
      </c>
      <c r="AP25" s="3">
        <v>1</v>
      </c>
      <c r="AQ25" s="3"/>
      <c r="AR25" s="3">
        <f t="shared" si="4"/>
        <v>100</v>
      </c>
      <c r="AS25" s="4"/>
      <c r="AT25" s="3">
        <f t="shared" si="5"/>
        <v>90</v>
      </c>
      <c r="AU25" s="3" t="str">
        <f t="shared" si="6"/>
        <v/>
      </c>
      <c r="AV25" s="3" t="s">
        <v>182</v>
      </c>
      <c r="AW25" s="3"/>
      <c r="AX25" s="18" t="s">
        <v>817</v>
      </c>
      <c r="AY25" s="37" t="s">
        <v>840</v>
      </c>
    </row>
    <row r="26" spans="1:51" ht="115.2" customHeight="1" x14ac:dyDescent="0.3">
      <c r="A26" s="3" t="s">
        <v>183</v>
      </c>
      <c r="B26" s="3" t="s">
        <v>83</v>
      </c>
      <c r="C26" s="3" t="s">
        <v>184</v>
      </c>
      <c r="D26" s="3" t="s">
        <v>185</v>
      </c>
      <c r="E26" s="3" t="s">
        <v>186</v>
      </c>
      <c r="F26" s="3" t="s">
        <v>187</v>
      </c>
      <c r="G26" s="3" t="s">
        <v>57</v>
      </c>
      <c r="H26" s="3" t="s">
        <v>94</v>
      </c>
      <c r="I26" s="3" t="s">
        <v>188</v>
      </c>
      <c r="J26" s="3" t="s">
        <v>189</v>
      </c>
      <c r="K26" s="4">
        <v>621744000</v>
      </c>
      <c r="L26" s="4">
        <v>550511999.39999998</v>
      </c>
      <c r="M26" s="4">
        <v>0</v>
      </c>
      <c r="N26" s="4">
        <v>0</v>
      </c>
      <c r="O26" s="4">
        <v>1172255999.4000001</v>
      </c>
      <c r="P26" s="4">
        <v>621744000</v>
      </c>
      <c r="Q26" s="5">
        <v>44495</v>
      </c>
      <c r="R26" s="5">
        <v>44391</v>
      </c>
      <c r="S26" s="5">
        <v>44390</v>
      </c>
      <c r="T26" s="5">
        <v>44383</v>
      </c>
      <c r="U26" s="4">
        <v>100</v>
      </c>
      <c r="V26" s="4">
        <v>91.71</v>
      </c>
      <c r="W26" s="3"/>
      <c r="X26" s="3"/>
      <c r="Y26" s="5">
        <v>44389</v>
      </c>
      <c r="Z26" s="5">
        <v>44399</v>
      </c>
      <c r="AA26" s="5">
        <v>44475</v>
      </c>
      <c r="AB26" s="5">
        <v>44495</v>
      </c>
      <c r="AC26" s="5">
        <v>44651</v>
      </c>
      <c r="AD26" s="5">
        <v>44651</v>
      </c>
      <c r="AE26" s="5">
        <v>46157</v>
      </c>
      <c r="AF26" s="3"/>
      <c r="AG26" s="3"/>
      <c r="AH26" s="5">
        <v>46152</v>
      </c>
      <c r="AI26" s="3"/>
      <c r="AJ26" s="3"/>
      <c r="AK26" s="3"/>
      <c r="AL26" s="3" t="str">
        <f t="shared" si="0"/>
        <v/>
      </c>
      <c r="AM26" s="3" t="str">
        <f t="shared" si="1"/>
        <v/>
      </c>
      <c r="AN26" s="3">
        <f t="shared" si="2"/>
        <v>100</v>
      </c>
      <c r="AO26" s="3" t="str">
        <f t="shared" si="3"/>
        <v/>
      </c>
      <c r="AP26" s="3">
        <v>0</v>
      </c>
      <c r="AQ26" s="3"/>
      <c r="AR26" s="3">
        <f t="shared" si="4"/>
        <v>100</v>
      </c>
      <c r="AS26" s="4"/>
      <c r="AT26" s="3">
        <f t="shared" si="5"/>
        <v>100</v>
      </c>
      <c r="AU26" s="3" t="str">
        <f t="shared" si="6"/>
        <v/>
      </c>
      <c r="AV26" s="3" t="s">
        <v>190</v>
      </c>
      <c r="AW26" s="3"/>
      <c r="AX26" s="18" t="s">
        <v>816</v>
      </c>
      <c r="AY26" s="37" t="s">
        <v>852</v>
      </c>
    </row>
    <row r="27" spans="1:51" ht="69.900000000000006" customHeight="1" x14ac:dyDescent="0.3">
      <c r="A27" s="3" t="s">
        <v>191</v>
      </c>
      <c r="B27" s="3" t="s">
        <v>72</v>
      </c>
      <c r="C27" s="3" t="s">
        <v>192</v>
      </c>
      <c r="D27" s="3" t="s">
        <v>193</v>
      </c>
      <c r="E27" s="3" t="s">
        <v>194</v>
      </c>
      <c r="F27" s="3" t="s">
        <v>195</v>
      </c>
      <c r="G27" s="3" t="s">
        <v>181</v>
      </c>
      <c r="H27" s="3" t="s">
        <v>94</v>
      </c>
      <c r="I27" s="3" t="s">
        <v>142</v>
      </c>
      <c r="J27" s="3" t="s">
        <v>89</v>
      </c>
      <c r="K27" s="4">
        <v>899027939.82000005</v>
      </c>
      <c r="L27" s="4">
        <v>0</v>
      </c>
      <c r="M27" s="4">
        <v>0</v>
      </c>
      <c r="N27" s="4">
        <v>0</v>
      </c>
      <c r="O27" s="4">
        <v>899027939.82000005</v>
      </c>
      <c r="P27" s="4">
        <v>895167939.80999994</v>
      </c>
      <c r="Q27" s="5">
        <v>45188</v>
      </c>
      <c r="R27" s="5">
        <v>44456</v>
      </c>
      <c r="S27" s="5">
        <v>44457</v>
      </c>
      <c r="T27" s="5">
        <v>44481</v>
      </c>
      <c r="U27" s="4">
        <v>99.57</v>
      </c>
      <c r="V27" s="4">
        <v>99.57</v>
      </c>
      <c r="W27" s="3"/>
      <c r="X27" s="3"/>
      <c r="Y27" s="5">
        <v>44456</v>
      </c>
      <c r="Z27" s="5">
        <v>44617</v>
      </c>
      <c r="AA27" s="5">
        <v>44687</v>
      </c>
      <c r="AB27" s="5">
        <v>44698</v>
      </c>
      <c r="AC27" s="5">
        <v>45046</v>
      </c>
      <c r="AD27" s="5">
        <v>45046</v>
      </c>
      <c r="AE27" s="5">
        <v>46157</v>
      </c>
      <c r="AF27" s="3"/>
      <c r="AG27" s="3"/>
      <c r="AH27" s="5"/>
      <c r="AI27" s="3"/>
      <c r="AJ27" s="3"/>
      <c r="AK27" s="3"/>
      <c r="AL27" s="3" t="str">
        <f t="shared" si="0"/>
        <v/>
      </c>
      <c r="AM27" s="3" t="str">
        <f t="shared" si="1"/>
        <v/>
      </c>
      <c r="AN27" s="3">
        <f t="shared" si="2"/>
        <v>100</v>
      </c>
      <c r="AO27" s="3" t="str">
        <f t="shared" si="3"/>
        <v/>
      </c>
      <c r="AP27" s="3">
        <v>0</v>
      </c>
      <c r="AQ27" s="3"/>
      <c r="AR27" s="3" t="str">
        <f t="shared" si="4"/>
        <v/>
      </c>
      <c r="AS27" s="4"/>
      <c r="AT27" s="3">
        <f t="shared" si="5"/>
        <v>100</v>
      </c>
      <c r="AU27" s="3" t="str">
        <f t="shared" si="6"/>
        <v/>
      </c>
      <c r="AV27" s="3" t="s">
        <v>182</v>
      </c>
      <c r="AW27" s="3"/>
      <c r="AX27" s="18" t="s">
        <v>816</v>
      </c>
      <c r="AY27" s="37" t="s">
        <v>840</v>
      </c>
    </row>
    <row r="28" spans="1:51" ht="137.4" hidden="1" customHeight="1" x14ac:dyDescent="0.3">
      <c r="A28" s="3">
        <v>2025000020037</v>
      </c>
      <c r="B28" s="3" t="s">
        <v>83</v>
      </c>
      <c r="C28" s="3" t="s">
        <v>316</v>
      </c>
      <c r="D28" s="3" t="s">
        <v>317</v>
      </c>
      <c r="E28" s="3" t="s">
        <v>86</v>
      </c>
      <c r="F28" s="3" t="s">
        <v>318</v>
      </c>
      <c r="G28" s="3" t="s">
        <v>67</v>
      </c>
      <c r="H28" s="3" t="s">
        <v>80</v>
      </c>
      <c r="I28" s="3" t="s">
        <v>295</v>
      </c>
      <c r="J28" s="3" t="s">
        <v>148</v>
      </c>
      <c r="K28" s="4">
        <v>79715601771.679993</v>
      </c>
      <c r="L28" s="4">
        <v>0</v>
      </c>
      <c r="M28" s="4">
        <v>0</v>
      </c>
      <c r="N28" s="4">
        <v>0</v>
      </c>
      <c r="O28" s="4">
        <v>79715601771.679993</v>
      </c>
      <c r="P28" s="4">
        <v>21675580598.400002</v>
      </c>
      <c r="Q28" s="5">
        <v>46086</v>
      </c>
      <c r="R28" s="5">
        <v>45939</v>
      </c>
      <c r="S28" s="5">
        <v>45934</v>
      </c>
      <c r="T28" s="5">
        <v>45961</v>
      </c>
      <c r="U28" s="4">
        <v>1.1599999999999999</v>
      </c>
      <c r="V28" s="4">
        <v>27.19</v>
      </c>
      <c r="W28" s="3">
        <v>1</v>
      </c>
      <c r="X28" s="3">
        <v>3.47</v>
      </c>
      <c r="Y28" s="5">
        <v>45933</v>
      </c>
      <c r="Z28" s="5"/>
      <c r="AA28" s="5">
        <v>46058</v>
      </c>
      <c r="AB28" s="5">
        <v>46064</v>
      </c>
      <c r="AC28" s="5">
        <v>46798</v>
      </c>
      <c r="AD28" s="5"/>
      <c r="AE28" s="5">
        <v>46157</v>
      </c>
      <c r="AF28" s="3" t="s">
        <v>922</v>
      </c>
      <c r="AG28" s="3" t="s">
        <v>964</v>
      </c>
      <c r="AH28" s="5">
        <v>46152</v>
      </c>
      <c r="AI28" s="3"/>
      <c r="AJ28" s="3"/>
      <c r="AK28" s="3"/>
      <c r="AL28" s="3">
        <f t="shared" si="0"/>
        <v>0</v>
      </c>
      <c r="AM28" s="3">
        <f t="shared" si="1"/>
        <v>100</v>
      </c>
      <c r="AN28" s="3">
        <f t="shared" si="2"/>
        <v>100</v>
      </c>
      <c r="AO28" s="3">
        <f t="shared" si="3"/>
        <v>100</v>
      </c>
      <c r="AP28" s="3">
        <v>0</v>
      </c>
      <c r="AQ28" s="3"/>
      <c r="AR28" s="3">
        <f t="shared" si="4"/>
        <v>100</v>
      </c>
      <c r="AS28" s="4">
        <v>100</v>
      </c>
      <c r="AT28" s="3">
        <f t="shared" si="5"/>
        <v>100</v>
      </c>
      <c r="AU28" s="7">
        <f t="shared" si="6"/>
        <v>60</v>
      </c>
      <c r="AV28" s="9" t="s">
        <v>319</v>
      </c>
      <c r="AW28" s="3">
        <v>100</v>
      </c>
      <c r="AX28" s="18" t="s">
        <v>822</v>
      </c>
      <c r="AY28" s="37" t="s">
        <v>867</v>
      </c>
    </row>
    <row r="29" spans="1:51" ht="69.900000000000006" customHeight="1" x14ac:dyDescent="0.3">
      <c r="A29" s="3" t="s">
        <v>201</v>
      </c>
      <c r="B29" s="3" t="s">
        <v>72</v>
      </c>
      <c r="C29" s="3" t="s">
        <v>202</v>
      </c>
      <c r="D29" s="3" t="s">
        <v>203</v>
      </c>
      <c r="E29" s="3" t="s">
        <v>204</v>
      </c>
      <c r="F29" s="3" t="s">
        <v>205</v>
      </c>
      <c r="G29" s="3" t="s">
        <v>57</v>
      </c>
      <c r="H29" s="3" t="s">
        <v>58</v>
      </c>
      <c r="I29" s="3" t="s">
        <v>125</v>
      </c>
      <c r="J29" s="3" t="s">
        <v>148</v>
      </c>
      <c r="K29" s="4">
        <v>13470040052.48</v>
      </c>
      <c r="L29" s="4">
        <v>0</v>
      </c>
      <c r="M29" s="4">
        <v>0</v>
      </c>
      <c r="N29" s="4">
        <v>0</v>
      </c>
      <c r="O29" s="4">
        <v>13470040052.48</v>
      </c>
      <c r="P29" s="4">
        <v>13464961639.190001</v>
      </c>
      <c r="Q29" s="5">
        <v>45573</v>
      </c>
      <c r="R29" s="5">
        <v>44856</v>
      </c>
      <c r="S29" s="5">
        <v>44845</v>
      </c>
      <c r="T29" s="5">
        <v>44854</v>
      </c>
      <c r="U29" s="4">
        <v>100</v>
      </c>
      <c r="V29" s="4">
        <v>99.96</v>
      </c>
      <c r="W29" s="3"/>
      <c r="X29" s="3"/>
      <c r="Y29" s="5">
        <v>44844</v>
      </c>
      <c r="Z29" s="5">
        <v>44980</v>
      </c>
      <c r="AA29" s="5">
        <v>45028</v>
      </c>
      <c r="AB29" s="5">
        <v>45028</v>
      </c>
      <c r="AC29" s="5">
        <v>45412</v>
      </c>
      <c r="AD29" s="5">
        <v>45412</v>
      </c>
      <c r="AE29" s="5">
        <v>46157</v>
      </c>
      <c r="AF29" s="3" t="s">
        <v>894</v>
      </c>
      <c r="AG29" s="3" t="s">
        <v>878</v>
      </c>
      <c r="AH29" s="5">
        <v>46157</v>
      </c>
      <c r="AI29" s="3"/>
      <c r="AJ29" s="3"/>
      <c r="AK29" s="3"/>
      <c r="AL29" s="3" t="str">
        <f t="shared" si="0"/>
        <v/>
      </c>
      <c r="AM29" s="3" t="str">
        <f t="shared" si="1"/>
        <v/>
      </c>
      <c r="AN29" s="3">
        <f t="shared" si="2"/>
        <v>100</v>
      </c>
      <c r="AO29" s="3" t="str">
        <f t="shared" si="3"/>
        <v/>
      </c>
      <c r="AP29" s="3">
        <v>1</v>
      </c>
      <c r="AQ29" s="3"/>
      <c r="AR29" s="3">
        <f t="shared" si="4"/>
        <v>0</v>
      </c>
      <c r="AS29" s="4">
        <v>0</v>
      </c>
      <c r="AT29" s="3">
        <f t="shared" si="5"/>
        <v>90</v>
      </c>
      <c r="AU29" s="3" t="str">
        <f t="shared" si="6"/>
        <v/>
      </c>
      <c r="AV29" s="3" t="s">
        <v>76</v>
      </c>
      <c r="AW29" s="3"/>
      <c r="AX29" s="18" t="s">
        <v>821</v>
      </c>
      <c r="AY29" s="37" t="s">
        <v>841</v>
      </c>
    </row>
    <row r="30" spans="1:51" ht="69.900000000000006" customHeight="1" x14ac:dyDescent="0.3">
      <c r="A30" s="3" t="s">
        <v>206</v>
      </c>
      <c r="B30" s="3" t="s">
        <v>83</v>
      </c>
      <c r="C30" s="3" t="s">
        <v>207</v>
      </c>
      <c r="D30" s="3" t="s">
        <v>208</v>
      </c>
      <c r="E30" s="3" t="s">
        <v>86</v>
      </c>
      <c r="F30" s="3" t="s">
        <v>209</v>
      </c>
      <c r="G30" s="3" t="s">
        <v>181</v>
      </c>
      <c r="H30" s="3" t="s">
        <v>94</v>
      </c>
      <c r="I30" s="3" t="s">
        <v>88</v>
      </c>
      <c r="J30" s="3" t="s">
        <v>89</v>
      </c>
      <c r="K30" s="4">
        <v>10889084257</v>
      </c>
      <c r="L30" s="4">
        <v>0</v>
      </c>
      <c r="M30" s="4">
        <v>0</v>
      </c>
      <c r="N30" s="4">
        <v>0</v>
      </c>
      <c r="O30" s="4">
        <v>10889084257</v>
      </c>
      <c r="P30" s="4">
        <v>10889084255.700001</v>
      </c>
      <c r="Q30" s="5">
        <v>45804</v>
      </c>
      <c r="R30" s="5">
        <v>44926</v>
      </c>
      <c r="S30" s="5">
        <v>44925</v>
      </c>
      <c r="T30" s="5">
        <v>44952</v>
      </c>
      <c r="U30" s="4">
        <v>100</v>
      </c>
      <c r="V30" s="4">
        <v>100</v>
      </c>
      <c r="W30" s="3"/>
      <c r="X30" s="3"/>
      <c r="Y30" s="5">
        <v>44924</v>
      </c>
      <c r="Z30" s="5">
        <v>45020</v>
      </c>
      <c r="AA30" s="5">
        <v>45107</v>
      </c>
      <c r="AB30" s="5">
        <v>45139</v>
      </c>
      <c r="AC30" s="5">
        <v>45746</v>
      </c>
      <c r="AD30" s="5">
        <v>45746</v>
      </c>
      <c r="AE30" s="5">
        <v>46157</v>
      </c>
      <c r="AF30" s="3" t="s">
        <v>895</v>
      </c>
      <c r="AG30" s="3" t="s">
        <v>896</v>
      </c>
      <c r="AH30" s="5">
        <v>46152</v>
      </c>
      <c r="AI30" s="3"/>
      <c r="AJ30" s="3"/>
      <c r="AK30" s="3"/>
      <c r="AL30" s="3" t="str">
        <f t="shared" si="0"/>
        <v/>
      </c>
      <c r="AM30" s="3" t="str">
        <f t="shared" si="1"/>
        <v/>
      </c>
      <c r="AN30" s="3">
        <f t="shared" si="2"/>
        <v>100</v>
      </c>
      <c r="AO30" s="3" t="str">
        <f t="shared" si="3"/>
        <v/>
      </c>
      <c r="AP30" s="3">
        <v>1</v>
      </c>
      <c r="AQ30" s="3"/>
      <c r="AR30" s="3">
        <f t="shared" si="4"/>
        <v>100</v>
      </c>
      <c r="AS30" s="4"/>
      <c r="AT30" s="3">
        <f t="shared" si="5"/>
        <v>90</v>
      </c>
      <c r="AU30" s="3" t="str">
        <f t="shared" si="6"/>
        <v/>
      </c>
      <c r="AV30" s="3" t="s">
        <v>182</v>
      </c>
      <c r="AW30" s="3"/>
      <c r="AX30" s="18" t="s">
        <v>817</v>
      </c>
      <c r="AY30" s="37" t="s">
        <v>853</v>
      </c>
    </row>
    <row r="31" spans="1:51" ht="97.95" customHeight="1" x14ac:dyDescent="0.3">
      <c r="A31" s="3" t="s">
        <v>210</v>
      </c>
      <c r="B31" s="3" t="s">
        <v>83</v>
      </c>
      <c r="C31" s="3" t="s">
        <v>211</v>
      </c>
      <c r="D31" s="3" t="s">
        <v>212</v>
      </c>
      <c r="E31" s="3" t="s">
        <v>194</v>
      </c>
      <c r="F31" s="3" t="s">
        <v>213</v>
      </c>
      <c r="G31" s="3" t="s">
        <v>57</v>
      </c>
      <c r="H31" s="3" t="s">
        <v>58</v>
      </c>
      <c r="I31" s="3" t="s">
        <v>68</v>
      </c>
      <c r="J31" s="3" t="s">
        <v>89</v>
      </c>
      <c r="K31" s="4">
        <v>9528331044</v>
      </c>
      <c r="L31" s="4">
        <v>0</v>
      </c>
      <c r="M31" s="4">
        <v>0</v>
      </c>
      <c r="N31" s="4">
        <v>0</v>
      </c>
      <c r="O31" s="4">
        <v>9528331044</v>
      </c>
      <c r="P31" s="4">
        <v>8458542091</v>
      </c>
      <c r="Q31" s="5">
        <v>45895</v>
      </c>
      <c r="R31" s="5">
        <v>44800</v>
      </c>
      <c r="S31" s="5">
        <v>44798</v>
      </c>
      <c r="T31" s="5">
        <v>44826</v>
      </c>
      <c r="U31" s="4">
        <v>99.5</v>
      </c>
      <c r="V31" s="4">
        <v>88.77</v>
      </c>
      <c r="W31" s="3"/>
      <c r="X31" s="3"/>
      <c r="Y31" s="5">
        <v>44797</v>
      </c>
      <c r="Z31" s="5">
        <v>45012</v>
      </c>
      <c r="AA31" s="5">
        <v>45054</v>
      </c>
      <c r="AB31" s="5">
        <v>45111</v>
      </c>
      <c r="AC31" s="5">
        <v>45858</v>
      </c>
      <c r="AD31" s="5">
        <v>45858</v>
      </c>
      <c r="AE31" s="5">
        <v>46157</v>
      </c>
      <c r="AF31" s="3" t="s">
        <v>897</v>
      </c>
      <c r="AG31" s="3" t="s">
        <v>958</v>
      </c>
      <c r="AH31" s="5">
        <v>46152</v>
      </c>
      <c r="AI31" s="3"/>
      <c r="AJ31" s="3"/>
      <c r="AK31" s="3"/>
      <c r="AL31" s="3" t="str">
        <f t="shared" si="0"/>
        <v/>
      </c>
      <c r="AM31" s="3" t="str">
        <f t="shared" si="1"/>
        <v/>
      </c>
      <c r="AN31" s="3">
        <f t="shared" si="2"/>
        <v>100</v>
      </c>
      <c r="AO31" s="3" t="str">
        <f t="shared" si="3"/>
        <v/>
      </c>
      <c r="AP31" s="3">
        <v>2</v>
      </c>
      <c r="AQ31" s="3"/>
      <c r="AR31" s="3">
        <f t="shared" si="4"/>
        <v>100</v>
      </c>
      <c r="AS31" s="4">
        <v>0</v>
      </c>
      <c r="AT31" s="3">
        <f t="shared" si="5"/>
        <v>75</v>
      </c>
      <c r="AU31" s="3" t="str">
        <f t="shared" si="6"/>
        <v/>
      </c>
      <c r="AV31" s="25" t="s">
        <v>959</v>
      </c>
      <c r="AW31" s="3">
        <v>90</v>
      </c>
      <c r="AX31" s="18" t="s">
        <v>818</v>
      </c>
      <c r="AY31" s="37" t="s">
        <v>852</v>
      </c>
    </row>
    <row r="32" spans="1:51" ht="69.900000000000006" customHeight="1" x14ac:dyDescent="0.3">
      <c r="A32" s="3" t="s">
        <v>214</v>
      </c>
      <c r="B32" s="3" t="s">
        <v>83</v>
      </c>
      <c r="C32" s="3" t="s">
        <v>215</v>
      </c>
      <c r="D32" s="3" t="s">
        <v>216</v>
      </c>
      <c r="E32" s="3" t="s">
        <v>194</v>
      </c>
      <c r="F32" s="3" t="s">
        <v>217</v>
      </c>
      <c r="G32" s="3" t="s">
        <v>181</v>
      </c>
      <c r="H32" s="3" t="s">
        <v>94</v>
      </c>
      <c r="I32" s="3" t="s">
        <v>88</v>
      </c>
      <c r="J32" s="3" t="s">
        <v>89</v>
      </c>
      <c r="K32" s="4">
        <v>14530936843.950001</v>
      </c>
      <c r="L32" s="4">
        <v>0</v>
      </c>
      <c r="M32" s="4">
        <v>0</v>
      </c>
      <c r="N32" s="4">
        <v>0</v>
      </c>
      <c r="O32" s="4">
        <v>14530936843.950001</v>
      </c>
      <c r="P32" s="4">
        <v>14530936843.950001</v>
      </c>
      <c r="Q32" s="5">
        <v>45727</v>
      </c>
      <c r="R32" s="5">
        <v>44926</v>
      </c>
      <c r="S32" s="5">
        <v>44925</v>
      </c>
      <c r="T32" s="5">
        <v>44952</v>
      </c>
      <c r="U32" s="4">
        <v>100</v>
      </c>
      <c r="V32" s="4">
        <v>100</v>
      </c>
      <c r="W32" s="3"/>
      <c r="X32" s="3"/>
      <c r="Y32" s="5">
        <v>44924</v>
      </c>
      <c r="Z32" s="5">
        <v>45009</v>
      </c>
      <c r="AA32" s="5">
        <v>45077</v>
      </c>
      <c r="AB32" s="5">
        <v>45112</v>
      </c>
      <c r="AC32" s="5">
        <v>45569</v>
      </c>
      <c r="AD32" s="5">
        <v>45569</v>
      </c>
      <c r="AE32" s="5">
        <v>46157</v>
      </c>
      <c r="AF32" s="3" t="s">
        <v>896</v>
      </c>
      <c r="AG32" s="3"/>
      <c r="AH32" s="5"/>
      <c r="AI32" s="3"/>
      <c r="AJ32" s="3"/>
      <c r="AK32" s="3"/>
      <c r="AL32" s="3" t="str">
        <f t="shared" si="0"/>
        <v/>
      </c>
      <c r="AM32" s="3" t="str">
        <f t="shared" si="1"/>
        <v/>
      </c>
      <c r="AN32" s="3">
        <f t="shared" si="2"/>
        <v>100</v>
      </c>
      <c r="AO32" s="3" t="str">
        <f t="shared" si="3"/>
        <v/>
      </c>
      <c r="AP32" s="3">
        <v>1</v>
      </c>
      <c r="AQ32" s="3"/>
      <c r="AR32" s="3" t="str">
        <f t="shared" si="4"/>
        <v/>
      </c>
      <c r="AS32" s="4"/>
      <c r="AT32" s="3">
        <f t="shared" si="5"/>
        <v>90</v>
      </c>
      <c r="AU32" s="3" t="str">
        <f t="shared" si="6"/>
        <v/>
      </c>
      <c r="AV32" s="3" t="s">
        <v>182</v>
      </c>
      <c r="AW32" s="3"/>
      <c r="AX32" s="18" t="s">
        <v>818</v>
      </c>
      <c r="AY32" s="37" t="s">
        <v>854</v>
      </c>
    </row>
    <row r="33" spans="1:51" ht="69.900000000000006" customHeight="1" x14ac:dyDescent="0.3">
      <c r="A33" s="3" t="s">
        <v>218</v>
      </c>
      <c r="B33" s="3" t="s">
        <v>83</v>
      </c>
      <c r="C33" s="3" t="s">
        <v>219</v>
      </c>
      <c r="D33" s="3" t="s">
        <v>220</v>
      </c>
      <c r="E33" s="3" t="s">
        <v>221</v>
      </c>
      <c r="F33" s="3" t="s">
        <v>222</v>
      </c>
      <c r="G33" s="3" t="s">
        <v>57</v>
      </c>
      <c r="H33" s="3" t="s">
        <v>58</v>
      </c>
      <c r="I33" s="3" t="s">
        <v>88</v>
      </c>
      <c r="J33" s="3" t="s">
        <v>189</v>
      </c>
      <c r="K33" s="4">
        <v>1226001186</v>
      </c>
      <c r="L33" s="4">
        <v>0</v>
      </c>
      <c r="M33" s="4">
        <v>0</v>
      </c>
      <c r="N33" s="4">
        <v>0</v>
      </c>
      <c r="O33" s="4">
        <v>1226001186</v>
      </c>
      <c r="P33" s="4">
        <v>1170382910.0899999</v>
      </c>
      <c r="Q33" s="5">
        <v>45951</v>
      </c>
      <c r="R33" s="5">
        <v>45104</v>
      </c>
      <c r="S33" s="5">
        <v>45094</v>
      </c>
      <c r="T33" s="5">
        <v>45107</v>
      </c>
      <c r="U33" s="4">
        <v>100</v>
      </c>
      <c r="V33" s="4">
        <v>95.46</v>
      </c>
      <c r="W33" s="3"/>
      <c r="X33" s="3"/>
      <c r="Y33" s="5">
        <v>45093</v>
      </c>
      <c r="Z33" s="5">
        <v>45250</v>
      </c>
      <c r="AA33" s="5">
        <v>45348</v>
      </c>
      <c r="AB33" s="5">
        <v>45426</v>
      </c>
      <c r="AC33" s="5">
        <v>45900</v>
      </c>
      <c r="AD33" s="5">
        <v>45900</v>
      </c>
      <c r="AE33" s="5">
        <v>46157</v>
      </c>
      <c r="AF33" s="3" t="s">
        <v>895</v>
      </c>
      <c r="AG33" s="3" t="s">
        <v>898</v>
      </c>
      <c r="AH33" s="5">
        <v>46152</v>
      </c>
      <c r="AI33" s="3"/>
      <c r="AJ33" s="3"/>
      <c r="AK33" s="3"/>
      <c r="AL33" s="3" t="str">
        <f t="shared" si="0"/>
        <v/>
      </c>
      <c r="AM33" s="3" t="str">
        <f t="shared" si="1"/>
        <v/>
      </c>
      <c r="AN33" s="3">
        <f t="shared" si="2"/>
        <v>100</v>
      </c>
      <c r="AO33" s="3" t="str">
        <f t="shared" si="3"/>
        <v/>
      </c>
      <c r="AP33" s="3">
        <v>2</v>
      </c>
      <c r="AQ33" s="3"/>
      <c r="AR33" s="3">
        <f t="shared" si="4"/>
        <v>100</v>
      </c>
      <c r="AS33" s="4"/>
      <c r="AT33" s="3">
        <f t="shared" si="5"/>
        <v>75</v>
      </c>
      <c r="AU33" s="3" t="str">
        <f t="shared" si="6"/>
        <v/>
      </c>
      <c r="AV33" s="3" t="s">
        <v>182</v>
      </c>
      <c r="AW33" s="3"/>
      <c r="AX33" s="18" t="s">
        <v>817</v>
      </c>
      <c r="AY33" s="37" t="s">
        <v>855</v>
      </c>
    </row>
    <row r="34" spans="1:51" ht="82.2" hidden="1" customHeight="1" x14ac:dyDescent="0.3">
      <c r="A34" s="12">
        <v>2025002700015</v>
      </c>
      <c r="B34" s="3" t="s">
        <v>83</v>
      </c>
      <c r="C34" s="3" t="s">
        <v>321</v>
      </c>
      <c r="D34" s="3" t="s">
        <v>322</v>
      </c>
      <c r="E34" s="3" t="s">
        <v>238</v>
      </c>
      <c r="F34" s="3" t="s">
        <v>269</v>
      </c>
      <c r="G34" s="3" t="s">
        <v>67</v>
      </c>
      <c r="H34" s="3" t="s">
        <v>80</v>
      </c>
      <c r="I34" s="3" t="s">
        <v>59</v>
      </c>
      <c r="J34" s="3" t="s">
        <v>89</v>
      </c>
      <c r="K34" s="4">
        <v>1000000435</v>
      </c>
      <c r="L34" s="4">
        <v>0</v>
      </c>
      <c r="M34" s="4">
        <v>0</v>
      </c>
      <c r="N34" s="4">
        <v>0</v>
      </c>
      <c r="O34" s="4">
        <v>1000000435</v>
      </c>
      <c r="P34" s="4">
        <v>300000130.5</v>
      </c>
      <c r="Q34" s="5">
        <v>46020</v>
      </c>
      <c r="R34" s="5">
        <v>45918</v>
      </c>
      <c r="S34" s="5">
        <v>45918</v>
      </c>
      <c r="T34" s="5">
        <v>45918</v>
      </c>
      <c r="U34" s="4">
        <v>54.06</v>
      </c>
      <c r="V34" s="4">
        <v>30</v>
      </c>
      <c r="W34" s="3">
        <v>1</v>
      </c>
      <c r="X34" s="3">
        <v>0.87</v>
      </c>
      <c r="Y34" s="5">
        <v>45912</v>
      </c>
      <c r="Z34" s="5">
        <v>45981</v>
      </c>
      <c r="AA34" s="5">
        <v>46008</v>
      </c>
      <c r="AB34" s="5">
        <v>46009</v>
      </c>
      <c r="AC34" s="5">
        <v>46191</v>
      </c>
      <c r="AD34" s="5"/>
      <c r="AE34" s="5">
        <v>46157</v>
      </c>
      <c r="AF34" s="3" t="s">
        <v>923</v>
      </c>
      <c r="AG34" s="3" t="s">
        <v>917</v>
      </c>
      <c r="AH34" s="5">
        <v>46152</v>
      </c>
      <c r="AI34" s="3"/>
      <c r="AJ34" s="3"/>
      <c r="AK34" s="3"/>
      <c r="AL34" s="3">
        <f t="shared" si="0"/>
        <v>100</v>
      </c>
      <c r="AM34" s="3">
        <f t="shared" si="1"/>
        <v>100</v>
      </c>
      <c r="AN34" s="3">
        <f t="shared" si="2"/>
        <v>100</v>
      </c>
      <c r="AO34" s="3">
        <f t="shared" si="3"/>
        <v>100</v>
      </c>
      <c r="AP34" s="3">
        <v>0</v>
      </c>
      <c r="AQ34" s="3"/>
      <c r="AR34" s="3">
        <f t="shared" si="4"/>
        <v>100</v>
      </c>
      <c r="AS34" s="4">
        <v>100</v>
      </c>
      <c r="AT34" s="3">
        <f t="shared" si="5"/>
        <v>100</v>
      </c>
      <c r="AU34" s="7">
        <f t="shared" si="6"/>
        <v>100</v>
      </c>
      <c r="AV34" s="9" t="s">
        <v>319</v>
      </c>
      <c r="AW34" s="3">
        <v>100</v>
      </c>
      <c r="AX34" s="18" t="s">
        <v>822</v>
      </c>
      <c r="AY34" s="37" t="s">
        <v>841</v>
      </c>
    </row>
    <row r="35" spans="1:51" ht="69.900000000000006" hidden="1" customHeight="1" x14ac:dyDescent="0.3">
      <c r="A35" s="3" t="s">
        <v>61</v>
      </c>
      <c r="B35" s="3" t="s">
        <v>62</v>
      </c>
      <c r="C35" s="3" t="s">
        <v>63</v>
      </c>
      <c r="D35" s="3" t="s">
        <v>64</v>
      </c>
      <c r="E35" s="3" t="s">
        <v>65</v>
      </c>
      <c r="F35" s="3" t="s">
        <v>66</v>
      </c>
      <c r="G35" s="3" t="s">
        <v>67</v>
      </c>
      <c r="H35" s="3" t="s">
        <v>58</v>
      </c>
      <c r="I35" s="3" t="s">
        <v>68</v>
      </c>
      <c r="J35" s="3" t="s">
        <v>69</v>
      </c>
      <c r="K35" s="4">
        <v>5000000000</v>
      </c>
      <c r="L35" s="4">
        <v>0</v>
      </c>
      <c r="M35" s="4">
        <v>2520000000</v>
      </c>
      <c r="N35" s="4">
        <v>0</v>
      </c>
      <c r="O35" s="4">
        <v>7520000000</v>
      </c>
      <c r="P35" s="4">
        <v>4999998982.75</v>
      </c>
      <c r="Q35" s="5">
        <v>43829</v>
      </c>
      <c r="R35" s="5">
        <v>41534</v>
      </c>
      <c r="S35" s="5">
        <v>41264</v>
      </c>
      <c r="T35" s="5">
        <v>41327</v>
      </c>
      <c r="U35" s="4">
        <v>99.05</v>
      </c>
      <c r="V35" s="4">
        <v>100</v>
      </c>
      <c r="W35" s="3"/>
      <c r="X35" s="3"/>
      <c r="Y35" s="5">
        <v>41263</v>
      </c>
      <c r="Z35" s="5">
        <v>41586</v>
      </c>
      <c r="AA35" s="5">
        <v>41586</v>
      </c>
      <c r="AB35" s="5">
        <v>41803</v>
      </c>
      <c r="AC35" s="5">
        <v>44742</v>
      </c>
      <c r="AD35" s="5"/>
      <c r="AE35" s="5">
        <v>46157</v>
      </c>
      <c r="AF35" s="3"/>
      <c r="AG35" s="3"/>
      <c r="AH35" s="5"/>
      <c r="AI35" s="3"/>
      <c r="AJ35" s="3"/>
      <c r="AK35" s="3"/>
      <c r="AL35" s="3">
        <f t="shared" ref="AL35:AL52"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0</v>
      </c>
      <c r="AM35" s="3">
        <f t="shared" ref="AM35:AM52"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0</v>
      </c>
      <c r="AN35" s="3">
        <f t="shared" ref="AN35:AN52"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f t="shared" ref="AO35:AO52" si="10">IF(AND($U35&gt;$V35,$G35="CONTRATADO EN EJECUCIÓN"),100,IF(AND($V35&gt;$U35,($V35-$U35)&gt;50,$G35="CONTRATADO EN EJECUCIÓN"),0,IF(AND($V35&gt;$U35,($V35-$U35)&lt;=50,$V35&lt;=60),100,IF(AND($V35&gt;$U35,($V35-$U35)&lt;=50,$V35&gt;60),$AN35,""))))</f>
        <v>100</v>
      </c>
      <c r="AP35" s="3">
        <v>0</v>
      </c>
      <c r="AQ35" s="3"/>
      <c r="AR35" s="3" t="str">
        <f t="shared" ref="AR35:AR52" si="11">IF(ISNUMBER($AH35),IF(DAY($AH35)=10,100,IF(DAY($AH35)=11,80,IF(DAY($AH35)=12,50,0))),"")</f>
        <v/>
      </c>
      <c r="AS35" s="4"/>
      <c r="AT35" s="3">
        <f t="shared" ref="AT35:AT52" si="12">IF($AP35=0,100,IF($AP35=1,90,IF($AP35=2,75,IF($AP35=3,60,IF($AP35=4,50,IF($AP35=5,25,IF($AP35&gt;=6,0,"")))))))</f>
        <v>100</v>
      </c>
      <c r="AU35" s="3" t="str">
        <f t="shared" ref="AU35:AU52" si="13">IFERROR(IF(AND($G35="CONTRATADO EN EJECUCIÓN",$AP35&gt;=1),(IFERROR(IF(ISTEXT($AF35),($AL35*0.4+$AM35*0.2+$AO35*0.4),""),""))*$AT35/100,IFERROR(IF(ISTEXT($AF35),($AL35*0.4+$AM35*0.2+$AO35*0.4),""),"")),0)</f>
        <v/>
      </c>
      <c r="AV35" s="3" t="s">
        <v>70</v>
      </c>
      <c r="AW35" s="3"/>
      <c r="AX35" s="18" t="s">
        <v>816</v>
      </c>
      <c r="AY35" s="37" t="s">
        <v>840</v>
      </c>
    </row>
    <row r="36" spans="1:51" ht="69.900000000000006" customHeight="1" x14ac:dyDescent="0.3">
      <c r="A36" s="3" t="s">
        <v>235</v>
      </c>
      <c r="B36" s="3" t="s">
        <v>83</v>
      </c>
      <c r="C36" s="3" t="s">
        <v>236</v>
      </c>
      <c r="D36" s="3" t="s">
        <v>237</v>
      </c>
      <c r="E36" s="3" t="s">
        <v>238</v>
      </c>
      <c r="F36" s="3" t="s">
        <v>239</v>
      </c>
      <c r="G36" s="3" t="s">
        <v>181</v>
      </c>
      <c r="H36" s="3" t="s">
        <v>94</v>
      </c>
      <c r="I36" s="3" t="s">
        <v>88</v>
      </c>
      <c r="J36" s="3" t="s">
        <v>89</v>
      </c>
      <c r="K36" s="4">
        <v>1657061525</v>
      </c>
      <c r="L36" s="4">
        <v>0</v>
      </c>
      <c r="M36" s="4">
        <v>0</v>
      </c>
      <c r="N36" s="4">
        <v>0</v>
      </c>
      <c r="O36" s="4">
        <v>1657061525</v>
      </c>
      <c r="P36" s="4">
        <v>1657061514.45</v>
      </c>
      <c r="Q36" s="5">
        <v>45986</v>
      </c>
      <c r="R36" s="5">
        <v>45104</v>
      </c>
      <c r="S36" s="5">
        <v>45094</v>
      </c>
      <c r="T36" s="5">
        <v>45105</v>
      </c>
      <c r="U36" s="4">
        <v>100.01</v>
      </c>
      <c r="V36" s="4">
        <v>100</v>
      </c>
      <c r="W36" s="3"/>
      <c r="X36" s="3"/>
      <c r="Y36" s="5">
        <v>45093</v>
      </c>
      <c r="Z36" s="5">
        <v>45275</v>
      </c>
      <c r="AA36" s="5">
        <v>45386</v>
      </c>
      <c r="AB36" s="5">
        <v>45411</v>
      </c>
      <c r="AC36" s="5">
        <v>45716</v>
      </c>
      <c r="AD36" s="5">
        <v>45716</v>
      </c>
      <c r="AE36" s="5">
        <v>46157</v>
      </c>
      <c r="AF36" s="3" t="s">
        <v>902</v>
      </c>
      <c r="AG36" s="3" t="s">
        <v>896</v>
      </c>
      <c r="AH36" s="5">
        <v>46152</v>
      </c>
      <c r="AI36" s="3"/>
      <c r="AJ36" s="3"/>
      <c r="AK36" s="3"/>
      <c r="AL36" s="3" t="str">
        <f t="shared" si="7"/>
        <v/>
      </c>
      <c r="AM36" s="3" t="str">
        <f t="shared" si="8"/>
        <v/>
      </c>
      <c r="AN36" s="3">
        <f t="shared" si="9"/>
        <v>100</v>
      </c>
      <c r="AO36" s="3" t="str">
        <f t="shared" si="10"/>
        <v/>
      </c>
      <c r="AP36" s="3">
        <v>1</v>
      </c>
      <c r="AQ36" s="3"/>
      <c r="AR36" s="3">
        <f t="shared" si="11"/>
        <v>100</v>
      </c>
      <c r="AS36" s="4"/>
      <c r="AT36" s="3">
        <f t="shared" si="12"/>
        <v>90</v>
      </c>
      <c r="AU36" s="3" t="str">
        <f t="shared" si="13"/>
        <v/>
      </c>
      <c r="AV36" s="3" t="s">
        <v>182</v>
      </c>
      <c r="AW36" s="3"/>
      <c r="AX36" s="18" t="s">
        <v>817</v>
      </c>
      <c r="AY36" s="37" t="s">
        <v>857</v>
      </c>
    </row>
    <row r="37" spans="1:51" ht="69.900000000000006" customHeight="1" x14ac:dyDescent="0.3">
      <c r="A37" s="3" t="s">
        <v>240</v>
      </c>
      <c r="B37" s="3" t="s">
        <v>52</v>
      </c>
      <c r="C37" s="3" t="s">
        <v>241</v>
      </c>
      <c r="D37" s="3" t="s">
        <v>242</v>
      </c>
      <c r="E37" s="3" t="s">
        <v>243</v>
      </c>
      <c r="F37" s="3" t="s">
        <v>244</v>
      </c>
      <c r="G37" s="3" t="s">
        <v>181</v>
      </c>
      <c r="H37" s="3" t="s">
        <v>94</v>
      </c>
      <c r="I37" s="3" t="s">
        <v>142</v>
      </c>
      <c r="J37" s="3" t="s">
        <v>89</v>
      </c>
      <c r="K37" s="4">
        <v>14555629486.65</v>
      </c>
      <c r="L37" s="4">
        <v>0</v>
      </c>
      <c r="M37" s="4">
        <v>0</v>
      </c>
      <c r="N37" s="4">
        <v>0</v>
      </c>
      <c r="O37" s="4">
        <v>14555629486.65</v>
      </c>
      <c r="P37" s="4">
        <v>13745203046.280001</v>
      </c>
      <c r="Q37" s="5">
        <v>45328</v>
      </c>
      <c r="R37" s="5">
        <v>45104</v>
      </c>
      <c r="S37" s="5">
        <v>45101</v>
      </c>
      <c r="T37" s="5">
        <v>45107</v>
      </c>
      <c r="U37" s="4">
        <v>94.43</v>
      </c>
      <c r="V37" s="4">
        <v>94.43</v>
      </c>
      <c r="W37" s="3"/>
      <c r="X37" s="3"/>
      <c r="Y37" s="5">
        <v>45100</v>
      </c>
      <c r="Z37" s="5"/>
      <c r="AA37" s="5">
        <v>45223</v>
      </c>
      <c r="AB37" s="5">
        <v>45223</v>
      </c>
      <c r="AC37" s="5">
        <v>45288</v>
      </c>
      <c r="AD37" s="5">
        <v>45288</v>
      </c>
      <c r="AE37" s="5">
        <v>46157</v>
      </c>
      <c r="AF37" s="3"/>
      <c r="AG37" s="3"/>
      <c r="AH37" s="5"/>
      <c r="AI37" s="3"/>
      <c r="AJ37" s="3"/>
      <c r="AK37" s="3"/>
      <c r="AL37" s="3" t="str">
        <f t="shared" si="7"/>
        <v/>
      </c>
      <c r="AM37" s="3" t="str">
        <f t="shared" si="8"/>
        <v/>
      </c>
      <c r="AN37" s="3">
        <f t="shared" si="9"/>
        <v>100</v>
      </c>
      <c r="AO37" s="3" t="str">
        <f t="shared" si="10"/>
        <v/>
      </c>
      <c r="AP37" s="3">
        <v>0</v>
      </c>
      <c r="AQ37" s="3"/>
      <c r="AR37" s="3" t="str">
        <f t="shared" si="11"/>
        <v/>
      </c>
      <c r="AS37" s="4"/>
      <c r="AT37" s="3">
        <f t="shared" si="12"/>
        <v>100</v>
      </c>
      <c r="AU37" s="3" t="str">
        <f t="shared" si="13"/>
        <v/>
      </c>
      <c r="AV37" s="3" t="s">
        <v>182</v>
      </c>
      <c r="AW37" s="3"/>
      <c r="AX37" s="18" t="s">
        <v>816</v>
      </c>
      <c r="AY37" s="37" t="s">
        <v>841</v>
      </c>
    </row>
    <row r="38" spans="1:51" ht="69.900000000000006" customHeight="1" x14ac:dyDescent="0.3">
      <c r="A38" s="3" t="s">
        <v>97</v>
      </c>
      <c r="B38" s="3" t="s">
        <v>83</v>
      </c>
      <c r="C38" s="3" t="s">
        <v>98</v>
      </c>
      <c r="D38" s="3" t="s">
        <v>99</v>
      </c>
      <c r="E38" s="3" t="s">
        <v>86</v>
      </c>
      <c r="F38" s="3" t="s">
        <v>100</v>
      </c>
      <c r="G38" s="3" t="s">
        <v>67</v>
      </c>
      <c r="H38" s="3" t="s">
        <v>80</v>
      </c>
      <c r="I38" s="3" t="s">
        <v>88</v>
      </c>
      <c r="J38" s="3" t="s">
        <v>60</v>
      </c>
      <c r="K38" s="4">
        <v>189749519481.00461</v>
      </c>
      <c r="L38" s="4">
        <v>0</v>
      </c>
      <c r="M38" s="4">
        <v>0</v>
      </c>
      <c r="N38" s="4">
        <v>0</v>
      </c>
      <c r="O38" s="4">
        <v>189749519481.00461</v>
      </c>
      <c r="P38" s="4">
        <v>188735128008.62</v>
      </c>
      <c r="Q38" s="5">
        <v>45656</v>
      </c>
      <c r="R38" s="5">
        <v>42942</v>
      </c>
      <c r="S38" s="5">
        <v>42923</v>
      </c>
      <c r="T38" s="5">
        <v>42970</v>
      </c>
      <c r="U38" s="4">
        <v>91.6</v>
      </c>
      <c r="V38" s="4">
        <v>99.47</v>
      </c>
      <c r="W38" s="3">
        <v>0</v>
      </c>
      <c r="X38" s="3">
        <v>0</v>
      </c>
      <c r="Y38" s="5">
        <v>42922</v>
      </c>
      <c r="Z38" s="5">
        <v>43249</v>
      </c>
      <c r="AA38" s="5">
        <v>43532</v>
      </c>
      <c r="AB38" s="5">
        <v>43591</v>
      </c>
      <c r="AC38" s="5">
        <v>45467</v>
      </c>
      <c r="AD38" s="5">
        <v>45467</v>
      </c>
      <c r="AE38" s="5">
        <v>46157</v>
      </c>
      <c r="AF38" s="3" t="s">
        <v>101</v>
      </c>
      <c r="AG38" s="3" t="s">
        <v>880</v>
      </c>
      <c r="AH38" s="5">
        <v>46152</v>
      </c>
      <c r="AI38" s="3"/>
      <c r="AJ38" s="3"/>
      <c r="AK38" s="3"/>
      <c r="AL38" s="3">
        <f t="shared" si="7"/>
        <v>0</v>
      </c>
      <c r="AM38" s="3">
        <f t="shared" si="8"/>
        <v>0</v>
      </c>
      <c r="AN38" s="3">
        <f t="shared" si="9"/>
        <v>100</v>
      </c>
      <c r="AO38" s="3">
        <f t="shared" si="10"/>
        <v>100</v>
      </c>
      <c r="AP38" s="3">
        <v>0</v>
      </c>
      <c r="AQ38" s="3"/>
      <c r="AR38" s="3">
        <f t="shared" si="11"/>
        <v>100</v>
      </c>
      <c r="AS38" s="4">
        <v>0</v>
      </c>
      <c r="AT38" s="3">
        <f t="shared" si="12"/>
        <v>100</v>
      </c>
      <c r="AU38" s="7">
        <f t="shared" si="13"/>
        <v>40</v>
      </c>
      <c r="AV38" s="3" t="s">
        <v>102</v>
      </c>
      <c r="AW38" s="3">
        <v>14</v>
      </c>
      <c r="AX38" s="18" t="s">
        <v>816</v>
      </c>
      <c r="AY38" s="37" t="s">
        <v>843</v>
      </c>
    </row>
    <row r="39" spans="1:51" ht="127.2" hidden="1" customHeight="1" x14ac:dyDescent="0.3">
      <c r="A39" s="3" t="s">
        <v>120</v>
      </c>
      <c r="B39" s="3" t="s">
        <v>72</v>
      </c>
      <c r="C39" s="3" t="s">
        <v>121</v>
      </c>
      <c r="D39" s="3" t="s">
        <v>122</v>
      </c>
      <c r="E39" s="3" t="s">
        <v>123</v>
      </c>
      <c r="F39" s="3" t="s">
        <v>124</v>
      </c>
      <c r="G39" s="3" t="s">
        <v>67</v>
      </c>
      <c r="H39" s="3" t="s">
        <v>169</v>
      </c>
      <c r="I39" s="3" t="s">
        <v>125</v>
      </c>
      <c r="J39" s="3" t="s">
        <v>126</v>
      </c>
      <c r="K39" s="4">
        <v>14525812035</v>
      </c>
      <c r="L39" s="4">
        <v>0</v>
      </c>
      <c r="M39" s="4">
        <v>0</v>
      </c>
      <c r="N39" s="4">
        <v>0</v>
      </c>
      <c r="O39" s="4">
        <v>14525812035</v>
      </c>
      <c r="P39" s="4">
        <v>13157700631.99</v>
      </c>
      <c r="Q39" s="5">
        <v>45603</v>
      </c>
      <c r="R39" s="5">
        <v>45076</v>
      </c>
      <c r="S39" s="5">
        <v>45066</v>
      </c>
      <c r="T39" s="5">
        <v>45084</v>
      </c>
      <c r="U39" s="4">
        <v>98.11</v>
      </c>
      <c r="V39" s="4">
        <v>90.58</v>
      </c>
      <c r="W39" s="3">
        <v>0</v>
      </c>
      <c r="X39" s="3">
        <v>0</v>
      </c>
      <c r="Y39" s="5">
        <v>45064</v>
      </c>
      <c r="Z39" s="5">
        <v>45260</v>
      </c>
      <c r="AA39" s="5">
        <v>45289</v>
      </c>
      <c r="AB39" s="5">
        <v>45301</v>
      </c>
      <c r="AC39" s="5">
        <v>45987</v>
      </c>
      <c r="AD39" s="5"/>
      <c r="AE39" s="5">
        <v>46157</v>
      </c>
      <c r="AF39" s="3" t="s">
        <v>127</v>
      </c>
      <c r="AG39" s="3" t="s">
        <v>884</v>
      </c>
      <c r="AH39" s="5">
        <v>46152</v>
      </c>
      <c r="AI39" s="3"/>
      <c r="AJ39" s="3"/>
      <c r="AK39" s="3"/>
      <c r="AL39" s="3">
        <f t="shared" si="7"/>
        <v>0</v>
      </c>
      <c r="AM39" s="3">
        <f t="shared" si="8"/>
        <v>0</v>
      </c>
      <c r="AN39" s="3">
        <f t="shared" si="9"/>
        <v>100</v>
      </c>
      <c r="AO39" s="3">
        <f t="shared" si="10"/>
        <v>100</v>
      </c>
      <c r="AP39" s="3">
        <v>1</v>
      </c>
      <c r="AQ39" s="3"/>
      <c r="AR39" s="3">
        <f t="shared" si="11"/>
        <v>100</v>
      </c>
      <c r="AS39" s="4">
        <v>100</v>
      </c>
      <c r="AT39" s="3">
        <f t="shared" si="12"/>
        <v>90</v>
      </c>
      <c r="AU39" s="3">
        <f t="shared" si="13"/>
        <v>36</v>
      </c>
      <c r="AV39" s="3" t="s">
        <v>128</v>
      </c>
      <c r="AW39" s="3"/>
      <c r="AX39" s="18" t="s">
        <v>819</v>
      </c>
      <c r="AY39" s="37" t="s">
        <v>841</v>
      </c>
    </row>
    <row r="40" spans="1:51" ht="69.900000000000006" customHeight="1" x14ac:dyDescent="0.3">
      <c r="A40" s="3" t="s">
        <v>260</v>
      </c>
      <c r="B40" s="3" t="s">
        <v>52</v>
      </c>
      <c r="C40" s="3" t="s">
        <v>261</v>
      </c>
      <c r="D40" s="3" t="s">
        <v>262</v>
      </c>
      <c r="E40" s="3" t="s">
        <v>243</v>
      </c>
      <c r="F40" s="3" t="s">
        <v>263</v>
      </c>
      <c r="G40" s="3" t="s">
        <v>57</v>
      </c>
      <c r="H40" s="3" t="s">
        <v>80</v>
      </c>
      <c r="I40" s="3" t="s">
        <v>142</v>
      </c>
      <c r="J40" s="3" t="s">
        <v>264</v>
      </c>
      <c r="K40" s="4">
        <v>20000000000</v>
      </c>
      <c r="L40" s="4">
        <v>0</v>
      </c>
      <c r="M40" s="4">
        <v>5812601822.2700005</v>
      </c>
      <c r="N40" s="4">
        <v>0</v>
      </c>
      <c r="O40" s="4">
        <v>25812601822.27</v>
      </c>
      <c r="P40" s="4">
        <v>19985101937.880001</v>
      </c>
      <c r="Q40" s="5">
        <v>45656</v>
      </c>
      <c r="R40" s="5">
        <v>45332</v>
      </c>
      <c r="S40" s="5">
        <v>45330</v>
      </c>
      <c r="T40" s="5">
        <v>45470</v>
      </c>
      <c r="U40" s="4">
        <v>96.54</v>
      </c>
      <c r="V40" s="4">
        <v>77.42</v>
      </c>
      <c r="W40" s="3"/>
      <c r="X40" s="3"/>
      <c r="Y40" s="5">
        <v>45329</v>
      </c>
      <c r="Z40" s="5">
        <v>45575</v>
      </c>
      <c r="AA40" s="5">
        <v>45575</v>
      </c>
      <c r="AB40" s="5">
        <v>45580</v>
      </c>
      <c r="AC40" s="5">
        <v>45656</v>
      </c>
      <c r="AD40" s="5">
        <v>45656</v>
      </c>
      <c r="AE40" s="5">
        <v>46157</v>
      </c>
      <c r="AF40" s="3" t="s">
        <v>907</v>
      </c>
      <c r="AG40" s="3" t="s">
        <v>935</v>
      </c>
      <c r="AH40" s="5">
        <v>46157</v>
      </c>
      <c r="AI40" s="3"/>
      <c r="AJ40" s="3"/>
      <c r="AK40" s="3"/>
      <c r="AL40" s="3" t="str">
        <f t="shared" si="7"/>
        <v/>
      </c>
      <c r="AM40" s="3" t="str">
        <f t="shared" si="8"/>
        <v/>
      </c>
      <c r="AN40" s="3">
        <f t="shared" si="9"/>
        <v>100</v>
      </c>
      <c r="AO40" s="3" t="str">
        <f t="shared" si="10"/>
        <v/>
      </c>
      <c r="AP40" s="3">
        <v>1</v>
      </c>
      <c r="AQ40" s="3"/>
      <c r="AR40" s="3">
        <f t="shared" si="11"/>
        <v>0</v>
      </c>
      <c r="AS40" s="4">
        <v>0</v>
      </c>
      <c r="AT40" s="3">
        <f t="shared" si="12"/>
        <v>90</v>
      </c>
      <c r="AU40" s="3" t="str">
        <f t="shared" si="13"/>
        <v/>
      </c>
      <c r="AV40" s="3" t="s">
        <v>265</v>
      </c>
      <c r="AW40" s="3">
        <v>100</v>
      </c>
      <c r="AX40" s="18" t="s">
        <v>816</v>
      </c>
      <c r="AY40" s="37" t="s">
        <v>841</v>
      </c>
    </row>
    <row r="41" spans="1:51" ht="69.900000000000006" hidden="1" customHeight="1" x14ac:dyDescent="0.3">
      <c r="A41" s="3" t="s">
        <v>133</v>
      </c>
      <c r="B41" s="3" t="s">
        <v>72</v>
      </c>
      <c r="C41" s="3" t="s">
        <v>134</v>
      </c>
      <c r="D41" s="3" t="s">
        <v>135</v>
      </c>
      <c r="E41" s="3" t="s">
        <v>65</v>
      </c>
      <c r="F41" s="3" t="s">
        <v>136</v>
      </c>
      <c r="G41" s="3" t="s">
        <v>67</v>
      </c>
      <c r="H41" s="3" t="s">
        <v>80</v>
      </c>
      <c r="I41" s="3" t="s">
        <v>68</v>
      </c>
      <c r="J41" s="3" t="s">
        <v>95</v>
      </c>
      <c r="K41" s="4">
        <v>9991937324.4500008</v>
      </c>
      <c r="L41" s="4">
        <v>0</v>
      </c>
      <c r="M41" s="4">
        <v>239336814</v>
      </c>
      <c r="N41" s="4">
        <v>0</v>
      </c>
      <c r="O41" s="4">
        <v>10231274138.450001</v>
      </c>
      <c r="P41" s="4">
        <v>9677239657.1900005</v>
      </c>
      <c r="Q41" s="5">
        <v>45595</v>
      </c>
      <c r="R41" s="5">
        <v>44321</v>
      </c>
      <c r="S41" s="5">
        <v>44187</v>
      </c>
      <c r="T41" s="5">
        <v>44337</v>
      </c>
      <c r="U41" s="4">
        <v>56.9</v>
      </c>
      <c r="V41" s="4">
        <v>94.98</v>
      </c>
      <c r="W41" s="3">
        <v>0</v>
      </c>
      <c r="X41" s="3">
        <v>0</v>
      </c>
      <c r="Y41" s="5">
        <v>44183</v>
      </c>
      <c r="Z41" s="5">
        <v>44363</v>
      </c>
      <c r="AA41" s="5">
        <v>44463</v>
      </c>
      <c r="AB41" s="5">
        <v>44545</v>
      </c>
      <c r="AC41" s="5">
        <v>46022</v>
      </c>
      <c r="AD41" s="5"/>
      <c r="AE41" s="5">
        <v>46157</v>
      </c>
      <c r="AF41" s="3" t="s">
        <v>885</v>
      </c>
      <c r="AG41" s="3" t="s">
        <v>882</v>
      </c>
      <c r="AH41" s="5">
        <v>46157</v>
      </c>
      <c r="AI41" s="3"/>
      <c r="AJ41" s="3"/>
      <c r="AK41" s="3"/>
      <c r="AL41" s="3">
        <f t="shared" si="7"/>
        <v>0</v>
      </c>
      <c r="AM41" s="3">
        <f t="shared" si="8"/>
        <v>0</v>
      </c>
      <c r="AN41" s="3">
        <f t="shared" si="9"/>
        <v>0</v>
      </c>
      <c r="AO41" s="3">
        <f t="shared" si="10"/>
        <v>0</v>
      </c>
      <c r="AP41" s="3">
        <v>1</v>
      </c>
      <c r="AQ41" s="3"/>
      <c r="AR41" s="3">
        <f t="shared" si="11"/>
        <v>0</v>
      </c>
      <c r="AS41" s="4">
        <v>0</v>
      </c>
      <c r="AT41" s="3">
        <f t="shared" si="12"/>
        <v>90</v>
      </c>
      <c r="AU41" s="3">
        <f t="shared" si="13"/>
        <v>0</v>
      </c>
      <c r="AV41" s="3" t="s">
        <v>137</v>
      </c>
      <c r="AW41" s="3">
        <v>23</v>
      </c>
      <c r="AX41" s="18" t="s">
        <v>816</v>
      </c>
      <c r="AY41" s="37" t="s">
        <v>841</v>
      </c>
    </row>
    <row r="42" spans="1:51" ht="69.900000000000006" hidden="1" customHeight="1" x14ac:dyDescent="0.3">
      <c r="A42" s="3" t="s">
        <v>150</v>
      </c>
      <c r="B42" s="3" t="s">
        <v>72</v>
      </c>
      <c r="C42" s="3" t="s">
        <v>151</v>
      </c>
      <c r="D42" s="3" t="s">
        <v>152</v>
      </c>
      <c r="E42" s="3" t="s">
        <v>65</v>
      </c>
      <c r="F42" s="3" t="s">
        <v>153</v>
      </c>
      <c r="G42" s="3" t="s">
        <v>67</v>
      </c>
      <c r="H42" s="3" t="s">
        <v>80</v>
      </c>
      <c r="I42" s="3" t="s">
        <v>68</v>
      </c>
      <c r="J42" s="3" t="s">
        <v>154</v>
      </c>
      <c r="K42" s="4">
        <v>3342400000</v>
      </c>
      <c r="L42" s="4">
        <v>0</v>
      </c>
      <c r="M42" s="4">
        <v>30000000</v>
      </c>
      <c r="N42" s="4">
        <v>0</v>
      </c>
      <c r="O42" s="4">
        <v>3372400000</v>
      </c>
      <c r="P42" s="4">
        <v>2920656161.9299998</v>
      </c>
      <c r="Q42" s="5">
        <v>45777</v>
      </c>
      <c r="R42" s="5">
        <v>44569</v>
      </c>
      <c r="S42" s="5">
        <v>44556</v>
      </c>
      <c r="T42" s="5">
        <v>44629</v>
      </c>
      <c r="U42" s="4">
        <v>100</v>
      </c>
      <c r="V42" s="4">
        <v>87.49</v>
      </c>
      <c r="W42" s="3">
        <v>0</v>
      </c>
      <c r="X42" s="3">
        <v>0</v>
      </c>
      <c r="Y42" s="5">
        <v>44552</v>
      </c>
      <c r="Z42" s="5">
        <v>44825</v>
      </c>
      <c r="AA42" s="5">
        <v>44833</v>
      </c>
      <c r="AB42" s="5">
        <v>44925</v>
      </c>
      <c r="AC42" s="5">
        <v>45549</v>
      </c>
      <c r="AD42" s="5"/>
      <c r="AE42" s="5">
        <v>46157</v>
      </c>
      <c r="AF42" s="3" t="s">
        <v>888</v>
      </c>
      <c r="AG42" s="3" t="s">
        <v>882</v>
      </c>
      <c r="AH42" s="5">
        <v>46157</v>
      </c>
      <c r="AI42" s="3"/>
      <c r="AJ42" s="3"/>
      <c r="AK42" s="3"/>
      <c r="AL42" s="3">
        <f t="shared" si="7"/>
        <v>0</v>
      </c>
      <c r="AM42" s="3">
        <f t="shared" si="8"/>
        <v>0</v>
      </c>
      <c r="AN42" s="3">
        <f t="shared" si="9"/>
        <v>100</v>
      </c>
      <c r="AO42" s="3">
        <f t="shared" si="10"/>
        <v>100</v>
      </c>
      <c r="AP42" s="3">
        <v>1</v>
      </c>
      <c r="AQ42" s="3"/>
      <c r="AR42" s="3">
        <f t="shared" si="11"/>
        <v>0</v>
      </c>
      <c r="AS42" s="4">
        <v>0</v>
      </c>
      <c r="AT42" s="3">
        <f t="shared" si="12"/>
        <v>90</v>
      </c>
      <c r="AU42" s="3">
        <f t="shared" si="13"/>
        <v>36</v>
      </c>
      <c r="AV42" s="3" t="s">
        <v>155</v>
      </c>
      <c r="AW42" s="3">
        <v>17.5</v>
      </c>
      <c r="AX42" s="18" t="s">
        <v>816</v>
      </c>
      <c r="AY42" s="37" t="s">
        <v>850</v>
      </c>
    </row>
    <row r="43" spans="1:51" ht="183.75" hidden="1" customHeight="1" x14ac:dyDescent="0.3">
      <c r="A43" s="3" t="s">
        <v>156</v>
      </c>
      <c r="B43" s="3" t="s">
        <v>72</v>
      </c>
      <c r="C43" s="3" t="s">
        <v>157</v>
      </c>
      <c r="D43" s="3" t="s">
        <v>158</v>
      </c>
      <c r="E43" s="3" t="s">
        <v>65</v>
      </c>
      <c r="F43" s="3" t="s">
        <v>153</v>
      </c>
      <c r="G43" s="3" t="s">
        <v>67</v>
      </c>
      <c r="H43" s="3" t="s">
        <v>80</v>
      </c>
      <c r="I43" s="3" t="s">
        <v>68</v>
      </c>
      <c r="J43" s="3" t="s">
        <v>154</v>
      </c>
      <c r="K43" s="4">
        <v>990000000</v>
      </c>
      <c r="L43" s="4">
        <v>0</v>
      </c>
      <c r="M43" s="4">
        <v>30000000</v>
      </c>
      <c r="N43" s="4">
        <v>0</v>
      </c>
      <c r="O43" s="4">
        <v>1020000000</v>
      </c>
      <c r="P43" s="4">
        <v>910522475.99000001</v>
      </c>
      <c r="Q43" s="5">
        <v>45653</v>
      </c>
      <c r="R43" s="5">
        <v>44569</v>
      </c>
      <c r="S43" s="5">
        <v>44556</v>
      </c>
      <c r="T43" s="5">
        <v>44629</v>
      </c>
      <c r="U43" s="4">
        <v>100</v>
      </c>
      <c r="V43" s="4">
        <v>92.21</v>
      </c>
      <c r="W43" s="3">
        <v>0</v>
      </c>
      <c r="X43" s="3">
        <v>0</v>
      </c>
      <c r="Y43" s="5">
        <v>44552</v>
      </c>
      <c r="Z43" s="5">
        <v>44775</v>
      </c>
      <c r="AA43" s="5">
        <v>44833</v>
      </c>
      <c r="AB43" s="5">
        <v>44925</v>
      </c>
      <c r="AC43" s="5">
        <v>45549</v>
      </c>
      <c r="AD43" s="5"/>
      <c r="AE43" s="5">
        <v>46157</v>
      </c>
      <c r="AF43" s="3" t="s">
        <v>889</v>
      </c>
      <c r="AG43" s="3" t="s">
        <v>882</v>
      </c>
      <c r="AH43" s="5">
        <v>46157</v>
      </c>
      <c r="AI43" s="3"/>
      <c r="AJ43" s="3"/>
      <c r="AK43" s="3"/>
      <c r="AL43" s="3">
        <f t="shared" si="7"/>
        <v>0</v>
      </c>
      <c r="AM43" s="3">
        <f t="shared" si="8"/>
        <v>0</v>
      </c>
      <c r="AN43" s="3">
        <f t="shared" si="9"/>
        <v>100</v>
      </c>
      <c r="AO43" s="3">
        <f t="shared" si="10"/>
        <v>100</v>
      </c>
      <c r="AP43" s="3">
        <v>1</v>
      </c>
      <c r="AQ43" s="3"/>
      <c r="AR43" s="3">
        <f t="shared" si="11"/>
        <v>0</v>
      </c>
      <c r="AS43" s="4">
        <v>0</v>
      </c>
      <c r="AT43" s="3">
        <f t="shared" si="12"/>
        <v>90</v>
      </c>
      <c r="AU43" s="3">
        <f t="shared" si="13"/>
        <v>36</v>
      </c>
      <c r="AV43" s="3" t="s">
        <v>159</v>
      </c>
      <c r="AW43" s="3">
        <v>17.5</v>
      </c>
      <c r="AX43" s="18" t="s">
        <v>816</v>
      </c>
      <c r="AY43" s="37" t="s">
        <v>851</v>
      </c>
    </row>
    <row r="44" spans="1:51" ht="207.6" hidden="1" customHeight="1" x14ac:dyDescent="0.3">
      <c r="A44" s="3" t="s">
        <v>280</v>
      </c>
      <c r="B44" s="3" t="s">
        <v>72</v>
      </c>
      <c r="C44" s="3" t="s">
        <v>281</v>
      </c>
      <c r="D44" s="3" t="s">
        <v>282</v>
      </c>
      <c r="E44" s="3" t="s">
        <v>123</v>
      </c>
      <c r="F44" s="3" t="s">
        <v>283</v>
      </c>
      <c r="G44" s="3" t="s">
        <v>284</v>
      </c>
      <c r="H44" s="3"/>
      <c r="I44" s="3"/>
      <c r="J44" s="3" t="s">
        <v>89</v>
      </c>
      <c r="K44" s="10">
        <v>2942601333.2800002</v>
      </c>
      <c r="L44" s="4">
        <v>0</v>
      </c>
      <c r="M44" s="4">
        <v>0</v>
      </c>
      <c r="N44" s="4">
        <v>0</v>
      </c>
      <c r="O44" s="4">
        <v>2942601333.2800002</v>
      </c>
      <c r="P44" s="4">
        <v>0</v>
      </c>
      <c r="Q44" s="5"/>
      <c r="R44" s="5">
        <v>45619</v>
      </c>
      <c r="S44" s="5">
        <v>45616</v>
      </c>
      <c r="T44" s="5">
        <v>45622</v>
      </c>
      <c r="U44" s="4">
        <v>0</v>
      </c>
      <c r="V44" s="4">
        <v>0</v>
      </c>
      <c r="W44" s="3"/>
      <c r="X44" s="3"/>
      <c r="Y44" s="5">
        <v>45615</v>
      </c>
      <c r="Z44" s="5">
        <v>46086</v>
      </c>
      <c r="AA44" s="5"/>
      <c r="AB44" s="5"/>
      <c r="AC44" s="5"/>
      <c r="AD44" s="5"/>
      <c r="AE44" s="5">
        <v>46157</v>
      </c>
      <c r="AF44" s="3" t="s">
        <v>913</v>
      </c>
      <c r="AG44" s="3" t="s">
        <v>914</v>
      </c>
      <c r="AH44" s="5">
        <v>46152</v>
      </c>
      <c r="AI44" s="3">
        <v>512</v>
      </c>
      <c r="AJ44" s="3"/>
      <c r="AK44" s="3"/>
      <c r="AL44" s="3" t="str">
        <f t="shared" si="7"/>
        <v/>
      </c>
      <c r="AM44" s="3" t="str">
        <f t="shared" si="8"/>
        <v/>
      </c>
      <c r="AN44" s="3">
        <f t="shared" si="9"/>
        <v>100</v>
      </c>
      <c r="AO44" s="3" t="str">
        <f t="shared" si="10"/>
        <v/>
      </c>
      <c r="AP44" s="3">
        <v>0</v>
      </c>
      <c r="AQ44" s="3">
        <v>0</v>
      </c>
      <c r="AR44" s="3">
        <f t="shared" si="11"/>
        <v>100</v>
      </c>
      <c r="AS44" s="4">
        <v>100</v>
      </c>
      <c r="AT44" s="3">
        <f t="shared" si="12"/>
        <v>100</v>
      </c>
      <c r="AU44" s="3" t="str">
        <f t="shared" si="13"/>
        <v/>
      </c>
      <c r="AV44" s="3" t="s">
        <v>838</v>
      </c>
      <c r="AW44" s="3">
        <v>100</v>
      </c>
      <c r="AX44" s="18" t="s">
        <v>821</v>
      </c>
      <c r="AY44" s="37" t="s">
        <v>841</v>
      </c>
    </row>
    <row r="45" spans="1:51" ht="108" hidden="1" customHeight="1" x14ac:dyDescent="0.3">
      <c r="A45" s="3" t="s">
        <v>165</v>
      </c>
      <c r="B45" s="3" t="s">
        <v>72</v>
      </c>
      <c r="C45" s="3" t="s">
        <v>166</v>
      </c>
      <c r="D45" s="3" t="s">
        <v>167</v>
      </c>
      <c r="E45" s="3" t="s">
        <v>65</v>
      </c>
      <c r="F45" s="3" t="s">
        <v>168</v>
      </c>
      <c r="G45" s="3" t="s">
        <v>67</v>
      </c>
      <c r="H45" s="3" t="s">
        <v>169</v>
      </c>
      <c r="I45" s="3" t="s">
        <v>68</v>
      </c>
      <c r="J45" s="3" t="s">
        <v>170</v>
      </c>
      <c r="K45" s="4">
        <v>4300000000</v>
      </c>
      <c r="L45" s="4">
        <v>0</v>
      </c>
      <c r="M45" s="4">
        <v>48000000</v>
      </c>
      <c r="N45" s="4">
        <v>0</v>
      </c>
      <c r="O45" s="4">
        <v>4348000000</v>
      </c>
      <c r="P45" s="4">
        <v>3523293028</v>
      </c>
      <c r="Q45" s="5">
        <v>45989</v>
      </c>
      <c r="R45" s="5">
        <v>44758</v>
      </c>
      <c r="S45" s="5">
        <v>44687</v>
      </c>
      <c r="T45" s="5">
        <v>44825</v>
      </c>
      <c r="U45" s="4">
        <v>68.13</v>
      </c>
      <c r="V45" s="4">
        <v>82.09</v>
      </c>
      <c r="W45" s="3">
        <v>0</v>
      </c>
      <c r="X45" s="3">
        <v>0</v>
      </c>
      <c r="Y45" s="5">
        <v>44685</v>
      </c>
      <c r="Z45" s="5">
        <v>44867</v>
      </c>
      <c r="AA45" s="5">
        <v>44917</v>
      </c>
      <c r="AB45" s="5">
        <v>44998</v>
      </c>
      <c r="AC45" s="5">
        <v>45912</v>
      </c>
      <c r="AD45" s="5"/>
      <c r="AE45" s="5">
        <v>46157</v>
      </c>
      <c r="AF45" s="3" t="s">
        <v>890</v>
      </c>
      <c r="AG45" s="3" t="s">
        <v>947</v>
      </c>
      <c r="AH45" s="5">
        <v>46152</v>
      </c>
      <c r="AI45" s="3"/>
      <c r="AJ45" s="3"/>
      <c r="AK45" s="3"/>
      <c r="AL45" s="3">
        <f t="shared" si="7"/>
        <v>0</v>
      </c>
      <c r="AM45" s="3">
        <f t="shared" si="8"/>
        <v>0</v>
      </c>
      <c r="AN45" s="3">
        <f t="shared" si="9"/>
        <v>100</v>
      </c>
      <c r="AO45" s="3">
        <f t="shared" si="10"/>
        <v>100</v>
      </c>
      <c r="AP45" s="3">
        <v>1</v>
      </c>
      <c r="AQ45" s="3"/>
      <c r="AR45" s="3">
        <f t="shared" si="11"/>
        <v>100</v>
      </c>
      <c r="AS45" s="4">
        <v>10</v>
      </c>
      <c r="AT45" s="3">
        <f t="shared" si="12"/>
        <v>90</v>
      </c>
      <c r="AU45" s="3">
        <f t="shared" si="13"/>
        <v>36</v>
      </c>
      <c r="AV45" s="3" t="s">
        <v>948</v>
      </c>
      <c r="AW45" s="3">
        <v>40</v>
      </c>
      <c r="AX45" s="18" t="s">
        <v>820</v>
      </c>
      <c r="AY45" s="37" t="s">
        <v>841</v>
      </c>
    </row>
    <row r="46" spans="1:51" ht="177.75" hidden="1" customHeight="1" x14ac:dyDescent="0.3">
      <c r="A46" s="3" t="s">
        <v>196</v>
      </c>
      <c r="B46" s="3" t="s">
        <v>83</v>
      </c>
      <c r="C46" s="3" t="s">
        <v>197</v>
      </c>
      <c r="D46" s="3" t="s">
        <v>198</v>
      </c>
      <c r="E46" s="3" t="s">
        <v>194</v>
      </c>
      <c r="F46" s="3" t="s">
        <v>199</v>
      </c>
      <c r="G46" s="3" t="s">
        <v>67</v>
      </c>
      <c r="H46" s="3" t="s">
        <v>169</v>
      </c>
      <c r="I46" s="3" t="s">
        <v>88</v>
      </c>
      <c r="J46" s="3" t="s">
        <v>89</v>
      </c>
      <c r="K46" s="4">
        <v>8561481683</v>
      </c>
      <c r="L46" s="4">
        <v>7999399317</v>
      </c>
      <c r="M46" s="4">
        <v>0</v>
      </c>
      <c r="N46" s="4">
        <v>0</v>
      </c>
      <c r="O46" s="4">
        <v>16560881000</v>
      </c>
      <c r="P46" s="4">
        <v>7774977527.5600004</v>
      </c>
      <c r="Q46" s="5">
        <v>45847</v>
      </c>
      <c r="R46" s="5">
        <v>45104</v>
      </c>
      <c r="S46" s="5">
        <v>45100</v>
      </c>
      <c r="T46" s="5">
        <v>45100</v>
      </c>
      <c r="U46" s="4">
        <v>74.260000000000005</v>
      </c>
      <c r="V46" s="4">
        <v>46.95</v>
      </c>
      <c r="W46" s="3">
        <v>0</v>
      </c>
      <c r="X46" s="3">
        <v>0</v>
      </c>
      <c r="Y46" s="5">
        <v>45100</v>
      </c>
      <c r="Z46" s="5">
        <v>45252</v>
      </c>
      <c r="AA46" s="5">
        <v>45433</v>
      </c>
      <c r="AB46" s="5">
        <v>45509</v>
      </c>
      <c r="AC46" s="5">
        <v>46014</v>
      </c>
      <c r="AD46" s="5"/>
      <c r="AE46" s="5">
        <v>46157</v>
      </c>
      <c r="AF46" s="3" t="s">
        <v>893</v>
      </c>
      <c r="AG46" s="3" t="s">
        <v>200</v>
      </c>
      <c r="AH46" s="5">
        <v>46152</v>
      </c>
      <c r="AI46" s="3"/>
      <c r="AJ46" s="3"/>
      <c r="AK46" s="3"/>
      <c r="AL46" s="3">
        <f t="shared" si="7"/>
        <v>0</v>
      </c>
      <c r="AM46" s="3">
        <f t="shared" si="8"/>
        <v>0</v>
      </c>
      <c r="AN46" s="3">
        <f t="shared" si="9"/>
        <v>100</v>
      </c>
      <c r="AO46" s="3">
        <f t="shared" si="10"/>
        <v>100</v>
      </c>
      <c r="AP46" s="3">
        <v>2</v>
      </c>
      <c r="AQ46" s="3"/>
      <c r="AR46" s="3">
        <f t="shared" si="11"/>
        <v>100</v>
      </c>
      <c r="AS46" s="4">
        <v>100</v>
      </c>
      <c r="AT46" s="3">
        <f t="shared" si="12"/>
        <v>75</v>
      </c>
      <c r="AU46" s="7">
        <f t="shared" si="13"/>
        <v>30</v>
      </c>
      <c r="AV46" s="3" t="s">
        <v>876</v>
      </c>
      <c r="AW46" s="3">
        <v>33.5</v>
      </c>
      <c r="AX46" s="18" t="s">
        <v>818</v>
      </c>
      <c r="AY46" s="37" t="s">
        <v>852</v>
      </c>
    </row>
    <row r="47" spans="1:51" ht="153" hidden="1" customHeight="1" x14ac:dyDescent="0.3">
      <c r="A47" s="3" t="s">
        <v>298</v>
      </c>
      <c r="B47" s="3" t="s">
        <v>83</v>
      </c>
      <c r="C47" s="3" t="s">
        <v>299</v>
      </c>
      <c r="D47" s="3" t="s">
        <v>300</v>
      </c>
      <c r="E47" s="3" t="s">
        <v>186</v>
      </c>
      <c r="F47" s="3" t="s">
        <v>301</v>
      </c>
      <c r="G47" s="3" t="s">
        <v>302</v>
      </c>
      <c r="H47" s="3" t="s">
        <v>303</v>
      </c>
      <c r="I47" s="3" t="s">
        <v>142</v>
      </c>
      <c r="J47" s="3" t="s">
        <v>304</v>
      </c>
      <c r="K47" s="4">
        <v>2439637568.0900002</v>
      </c>
      <c r="L47" s="4">
        <v>0</v>
      </c>
      <c r="M47" s="4">
        <v>0</v>
      </c>
      <c r="N47" s="4">
        <v>0</v>
      </c>
      <c r="O47" s="4">
        <v>2439637568.0900002</v>
      </c>
      <c r="P47" s="4">
        <v>0</v>
      </c>
      <c r="Q47" s="5"/>
      <c r="R47" s="5">
        <v>45658</v>
      </c>
      <c r="S47" s="5">
        <v>46017</v>
      </c>
      <c r="T47" s="5">
        <v>45653</v>
      </c>
      <c r="U47" s="4">
        <v>0</v>
      </c>
      <c r="V47" s="4">
        <v>0</v>
      </c>
      <c r="W47" s="3"/>
      <c r="X47" s="3"/>
      <c r="Y47" s="5">
        <v>45650</v>
      </c>
      <c r="Z47" s="5">
        <v>45827</v>
      </c>
      <c r="AA47" s="5">
        <v>45827</v>
      </c>
      <c r="AB47" s="5">
        <v>45827</v>
      </c>
      <c r="AC47" s="5"/>
      <c r="AD47" s="5"/>
      <c r="AE47" s="5">
        <v>46157</v>
      </c>
      <c r="AF47" s="3" t="s">
        <v>918</v>
      </c>
      <c r="AG47" s="3" t="s">
        <v>919</v>
      </c>
      <c r="AH47" s="5">
        <v>46152</v>
      </c>
      <c r="AI47" s="3"/>
      <c r="AJ47" s="3"/>
      <c r="AK47" s="3">
        <v>300</v>
      </c>
      <c r="AL47" s="3" t="str">
        <f t="shared" si="7"/>
        <v/>
      </c>
      <c r="AM47" s="3" t="str">
        <f t="shared" si="8"/>
        <v/>
      </c>
      <c r="AN47" s="3">
        <f t="shared" si="9"/>
        <v>100</v>
      </c>
      <c r="AO47" s="3" t="str">
        <f t="shared" si="10"/>
        <v/>
      </c>
      <c r="AP47" s="3">
        <v>0</v>
      </c>
      <c r="AQ47" s="3">
        <v>0</v>
      </c>
      <c r="AR47" s="3">
        <f t="shared" si="11"/>
        <v>100</v>
      </c>
      <c r="AS47" s="4">
        <v>0</v>
      </c>
      <c r="AT47" s="3">
        <f t="shared" si="12"/>
        <v>100</v>
      </c>
      <c r="AU47" s="3" t="str">
        <f t="shared" si="13"/>
        <v/>
      </c>
      <c r="AV47" s="3" t="s">
        <v>960</v>
      </c>
      <c r="AW47" s="3">
        <v>0</v>
      </c>
      <c r="AX47" s="18" t="s">
        <v>818</v>
      </c>
      <c r="AY47" s="37" t="s">
        <v>840</v>
      </c>
    </row>
    <row r="48" spans="1:51" ht="154.5" hidden="1" customHeight="1" x14ac:dyDescent="0.3">
      <c r="A48" s="3" t="s">
        <v>229</v>
      </c>
      <c r="B48" s="3" t="s">
        <v>230</v>
      </c>
      <c r="C48" s="3" t="s">
        <v>231</v>
      </c>
      <c r="D48" s="3" t="s">
        <v>232</v>
      </c>
      <c r="E48" s="3" t="s">
        <v>233</v>
      </c>
      <c r="F48" s="3" t="s">
        <v>234</v>
      </c>
      <c r="G48" s="3" t="s">
        <v>67</v>
      </c>
      <c r="H48" s="3" t="s">
        <v>80</v>
      </c>
      <c r="I48" s="3" t="s">
        <v>68</v>
      </c>
      <c r="J48" s="3" t="s">
        <v>89</v>
      </c>
      <c r="K48" s="4">
        <v>8600669220</v>
      </c>
      <c r="L48" s="4">
        <v>0</v>
      </c>
      <c r="M48" s="4">
        <v>216384280</v>
      </c>
      <c r="N48" s="4">
        <v>0</v>
      </c>
      <c r="O48" s="4">
        <v>8817053500</v>
      </c>
      <c r="P48" s="4">
        <v>3440267688</v>
      </c>
      <c r="Q48" s="5">
        <v>45895</v>
      </c>
      <c r="R48" s="5">
        <v>45094</v>
      </c>
      <c r="S48" s="5">
        <v>45094</v>
      </c>
      <c r="T48" s="5">
        <v>45100</v>
      </c>
      <c r="U48" s="4">
        <v>98.16</v>
      </c>
      <c r="V48" s="4">
        <v>39.020000000000003</v>
      </c>
      <c r="W48" s="3">
        <v>0</v>
      </c>
      <c r="X48" s="3">
        <v>0</v>
      </c>
      <c r="Y48" s="5">
        <v>45093</v>
      </c>
      <c r="Z48" s="5">
        <v>45093</v>
      </c>
      <c r="AA48" s="5">
        <v>45188</v>
      </c>
      <c r="AB48" s="5">
        <v>45202</v>
      </c>
      <c r="AC48" s="5">
        <v>46056</v>
      </c>
      <c r="AD48" s="5"/>
      <c r="AE48" s="5">
        <v>46157</v>
      </c>
      <c r="AF48" s="3" t="s">
        <v>969</v>
      </c>
      <c r="AG48" s="3" t="s">
        <v>901</v>
      </c>
      <c r="AH48" s="5">
        <v>46152</v>
      </c>
      <c r="AI48" s="3"/>
      <c r="AJ48" s="3"/>
      <c r="AK48" s="3"/>
      <c r="AL48" s="3">
        <f t="shared" si="7"/>
        <v>0</v>
      </c>
      <c r="AM48" s="3">
        <f t="shared" si="8"/>
        <v>0</v>
      </c>
      <c r="AN48" s="3">
        <f t="shared" si="9"/>
        <v>100</v>
      </c>
      <c r="AO48" s="3">
        <f t="shared" si="10"/>
        <v>100</v>
      </c>
      <c r="AP48" s="3">
        <v>3</v>
      </c>
      <c r="AQ48" s="3"/>
      <c r="AR48" s="3">
        <f t="shared" si="11"/>
        <v>100</v>
      </c>
      <c r="AS48" s="4">
        <v>0</v>
      </c>
      <c r="AT48" s="3">
        <f t="shared" si="12"/>
        <v>60</v>
      </c>
      <c r="AU48" s="3">
        <f t="shared" si="13"/>
        <v>24</v>
      </c>
      <c r="AV48" s="3" t="s">
        <v>970</v>
      </c>
      <c r="AW48" s="3">
        <v>50</v>
      </c>
      <c r="AX48" s="18" t="s">
        <v>818</v>
      </c>
      <c r="AY48" s="37" t="s">
        <v>856</v>
      </c>
    </row>
    <row r="49" spans="1:51" ht="148.19999999999999" hidden="1" customHeight="1" x14ac:dyDescent="0.3">
      <c r="A49" s="35" t="s">
        <v>839</v>
      </c>
      <c r="B49" s="3" t="s">
        <v>83</v>
      </c>
      <c r="C49" s="3" t="s">
        <v>309</v>
      </c>
      <c r="D49" s="3"/>
      <c r="E49" s="3" t="s">
        <v>86</v>
      </c>
      <c r="F49" s="3"/>
      <c r="G49" s="3" t="s">
        <v>284</v>
      </c>
      <c r="H49" s="3"/>
      <c r="I49" s="3"/>
      <c r="J49" s="3" t="s">
        <v>148</v>
      </c>
      <c r="K49" s="10">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961</v>
      </c>
      <c r="AG49" s="25" t="s">
        <v>962</v>
      </c>
      <c r="AH49" s="5">
        <v>46152</v>
      </c>
      <c r="AI49" s="3">
        <v>34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13"/>
        <v/>
      </c>
      <c r="AV49" s="3" t="s">
        <v>963</v>
      </c>
      <c r="AW49" s="3"/>
      <c r="AX49" s="18" t="s">
        <v>816</v>
      </c>
      <c r="AY49" s="37" t="s">
        <v>865</v>
      </c>
    </row>
    <row r="50" spans="1:51" ht="69.900000000000006" hidden="1" customHeight="1" x14ac:dyDescent="0.3">
      <c r="A50" s="3" t="s">
        <v>250</v>
      </c>
      <c r="B50" s="3" t="s">
        <v>72</v>
      </c>
      <c r="C50" s="11" t="s">
        <v>251</v>
      </c>
      <c r="D50" s="3" t="s">
        <v>252</v>
      </c>
      <c r="E50" s="3" t="s">
        <v>123</v>
      </c>
      <c r="F50" s="3" t="s">
        <v>253</v>
      </c>
      <c r="G50" s="3" t="s">
        <v>67</v>
      </c>
      <c r="H50" s="3" t="s">
        <v>80</v>
      </c>
      <c r="I50" s="3" t="s">
        <v>68</v>
      </c>
      <c r="J50" s="3" t="s">
        <v>89</v>
      </c>
      <c r="K50" s="4">
        <v>2999999744</v>
      </c>
      <c r="L50" s="4">
        <v>0</v>
      </c>
      <c r="M50" s="4">
        <v>0</v>
      </c>
      <c r="N50" s="4">
        <v>0</v>
      </c>
      <c r="O50" s="4">
        <v>2999999744</v>
      </c>
      <c r="P50" s="4">
        <v>2999999744</v>
      </c>
      <c r="Q50" s="5">
        <v>45477</v>
      </c>
      <c r="R50" s="5">
        <v>45241</v>
      </c>
      <c r="S50" s="5">
        <v>45234</v>
      </c>
      <c r="T50" s="5">
        <v>45244</v>
      </c>
      <c r="U50" s="4">
        <v>93.95</v>
      </c>
      <c r="V50" s="4">
        <v>100</v>
      </c>
      <c r="W50" s="3"/>
      <c r="X50" s="3"/>
      <c r="Y50" s="5">
        <v>45233</v>
      </c>
      <c r="Z50" s="5">
        <v>45408</v>
      </c>
      <c r="AA50" s="5">
        <v>45427</v>
      </c>
      <c r="AB50" s="5">
        <v>45440</v>
      </c>
      <c r="AC50" s="5">
        <v>45900</v>
      </c>
      <c r="AD50" s="5"/>
      <c r="AE50" s="5">
        <v>46157</v>
      </c>
      <c r="AF50" s="3" t="s">
        <v>905</v>
      </c>
      <c r="AG50" s="3" t="s">
        <v>906</v>
      </c>
      <c r="AH50" s="5">
        <v>46155</v>
      </c>
      <c r="AI50" s="3"/>
      <c r="AJ50" s="3"/>
      <c r="AK50" s="3"/>
      <c r="AL50" s="3">
        <f t="shared" si="7"/>
        <v>0</v>
      </c>
      <c r="AM50" s="3">
        <f t="shared" si="8"/>
        <v>0</v>
      </c>
      <c r="AN50" s="3">
        <f t="shared" si="9"/>
        <v>100</v>
      </c>
      <c r="AO50" s="3">
        <f t="shared" si="10"/>
        <v>100</v>
      </c>
      <c r="AP50" s="3">
        <v>1</v>
      </c>
      <c r="AQ50" s="3"/>
      <c r="AR50" s="3">
        <f t="shared" si="11"/>
        <v>0</v>
      </c>
      <c r="AS50" s="4">
        <v>100</v>
      </c>
      <c r="AT50" s="3">
        <f t="shared" si="12"/>
        <v>90</v>
      </c>
      <c r="AU50" s="3">
        <f t="shared" si="13"/>
        <v>36</v>
      </c>
      <c r="AV50" s="3" t="s">
        <v>949</v>
      </c>
      <c r="AW50" s="3">
        <v>0</v>
      </c>
      <c r="AX50" s="18" t="s">
        <v>816</v>
      </c>
      <c r="AY50" s="37" t="s">
        <v>859</v>
      </c>
    </row>
    <row r="51" spans="1:51" ht="69.900000000000006" hidden="1" customHeight="1" x14ac:dyDescent="0.3">
      <c r="A51" s="3" t="s">
        <v>285</v>
      </c>
      <c r="B51" s="3" t="s">
        <v>230</v>
      </c>
      <c r="C51" s="3" t="s">
        <v>286</v>
      </c>
      <c r="D51" s="3" t="s">
        <v>287</v>
      </c>
      <c r="E51" s="3" t="s">
        <v>233</v>
      </c>
      <c r="F51" s="3" t="s">
        <v>288</v>
      </c>
      <c r="G51" s="3" t="s">
        <v>67</v>
      </c>
      <c r="H51" s="3" t="s">
        <v>169</v>
      </c>
      <c r="I51" s="3" t="s">
        <v>88</v>
      </c>
      <c r="J51" s="3" t="s">
        <v>189</v>
      </c>
      <c r="K51" s="4">
        <v>689677427</v>
      </c>
      <c r="L51" s="4">
        <v>0</v>
      </c>
      <c r="M51" s="4">
        <v>0</v>
      </c>
      <c r="N51" s="4">
        <v>0</v>
      </c>
      <c r="O51" s="4">
        <v>689677427</v>
      </c>
      <c r="P51" s="4">
        <v>193102898.40000001</v>
      </c>
      <c r="Q51" s="5">
        <v>45937</v>
      </c>
      <c r="R51" s="5">
        <v>45634</v>
      </c>
      <c r="S51" s="5">
        <v>45633</v>
      </c>
      <c r="T51" s="5">
        <v>45637</v>
      </c>
      <c r="U51" s="4">
        <v>69.33</v>
      </c>
      <c r="V51" s="4">
        <v>28</v>
      </c>
      <c r="W51" s="3">
        <v>0</v>
      </c>
      <c r="X51" s="3">
        <v>0</v>
      </c>
      <c r="Y51" s="5">
        <v>45632</v>
      </c>
      <c r="Z51" s="5">
        <v>45803</v>
      </c>
      <c r="AA51" s="5">
        <v>45903</v>
      </c>
      <c r="AB51" s="5">
        <v>45911</v>
      </c>
      <c r="AC51" s="5">
        <v>46077</v>
      </c>
      <c r="AD51" s="5"/>
      <c r="AE51" s="5">
        <v>46157</v>
      </c>
      <c r="AF51" s="3" t="s">
        <v>171</v>
      </c>
      <c r="AG51" s="3" t="s">
        <v>915</v>
      </c>
      <c r="AH51" s="5">
        <v>46152</v>
      </c>
      <c r="AI51" s="3"/>
      <c r="AJ51" s="3"/>
      <c r="AK51" s="3"/>
      <c r="AL51" s="3">
        <f t="shared" si="7"/>
        <v>0</v>
      </c>
      <c r="AM51" s="3">
        <f t="shared" si="8"/>
        <v>0</v>
      </c>
      <c r="AN51" s="3">
        <f t="shared" si="9"/>
        <v>100</v>
      </c>
      <c r="AO51" s="3">
        <f t="shared" si="10"/>
        <v>100</v>
      </c>
      <c r="AP51" s="3">
        <v>1</v>
      </c>
      <c r="AQ51" s="3"/>
      <c r="AR51" s="3">
        <f t="shared" si="11"/>
        <v>100</v>
      </c>
      <c r="AS51" s="4">
        <v>100</v>
      </c>
      <c r="AT51" s="3">
        <f t="shared" si="12"/>
        <v>90</v>
      </c>
      <c r="AU51" s="3">
        <f t="shared" si="13"/>
        <v>36</v>
      </c>
      <c r="AV51" s="3" t="s">
        <v>289</v>
      </c>
      <c r="AW51" s="3">
        <v>32.4</v>
      </c>
      <c r="AX51" s="18" t="s">
        <v>817</v>
      </c>
      <c r="AY51" s="37" t="s">
        <v>863</v>
      </c>
    </row>
    <row r="52" spans="1:51" ht="249" customHeight="1" x14ac:dyDescent="0.3">
      <c r="A52" s="3" t="s">
        <v>310</v>
      </c>
      <c r="B52" s="3" t="s">
        <v>52</v>
      </c>
      <c r="C52" s="11" t="s">
        <v>311</v>
      </c>
      <c r="D52" s="3" t="s">
        <v>312</v>
      </c>
      <c r="E52" s="3" t="s">
        <v>243</v>
      </c>
      <c r="F52" s="3" t="s">
        <v>313</v>
      </c>
      <c r="G52" s="3" t="s">
        <v>67</v>
      </c>
      <c r="H52" s="3" t="s">
        <v>303</v>
      </c>
      <c r="I52" s="3" t="s">
        <v>142</v>
      </c>
      <c r="J52" s="3" t="s">
        <v>314</v>
      </c>
      <c r="K52" s="4">
        <v>15884181916</v>
      </c>
      <c r="L52" s="4">
        <v>0</v>
      </c>
      <c r="M52" s="4">
        <v>0</v>
      </c>
      <c r="N52" s="4">
        <v>0</v>
      </c>
      <c r="O52" s="4">
        <v>15884181916</v>
      </c>
      <c r="P52" s="4">
        <v>6484823040.0600004</v>
      </c>
      <c r="Q52" s="5">
        <v>46017</v>
      </c>
      <c r="R52" s="5">
        <v>45893</v>
      </c>
      <c r="S52" s="5">
        <v>45889</v>
      </c>
      <c r="T52" s="5">
        <v>45903</v>
      </c>
      <c r="U52" s="4">
        <v>40.32</v>
      </c>
      <c r="V52" s="4">
        <v>40.83</v>
      </c>
      <c r="W52" s="3"/>
      <c r="X52" s="3"/>
      <c r="Y52" s="5">
        <v>45888</v>
      </c>
      <c r="Z52" s="5">
        <v>45905</v>
      </c>
      <c r="AA52" s="5">
        <v>45929</v>
      </c>
      <c r="AB52" s="5">
        <v>45931</v>
      </c>
      <c r="AC52" s="5">
        <v>46021</v>
      </c>
      <c r="AD52" s="5">
        <v>46021</v>
      </c>
      <c r="AE52" s="5">
        <v>46157</v>
      </c>
      <c r="AF52" s="3" t="s">
        <v>937</v>
      </c>
      <c r="AG52" s="3" t="s">
        <v>935</v>
      </c>
      <c r="AH52" s="5">
        <v>46157</v>
      </c>
      <c r="AI52" s="3"/>
      <c r="AJ52" s="3"/>
      <c r="AK52" s="3"/>
      <c r="AL52" s="3">
        <f t="shared" si="7"/>
        <v>0</v>
      </c>
      <c r="AM52" s="3">
        <f t="shared" si="8"/>
        <v>0</v>
      </c>
      <c r="AN52" s="3">
        <f t="shared" si="9"/>
        <v>100</v>
      </c>
      <c r="AO52" s="3">
        <f t="shared" si="10"/>
        <v>100</v>
      </c>
      <c r="AP52" s="3">
        <v>0</v>
      </c>
      <c r="AQ52" s="3"/>
      <c r="AR52" s="3">
        <f t="shared" si="11"/>
        <v>0</v>
      </c>
      <c r="AS52" s="4">
        <v>0</v>
      </c>
      <c r="AT52" s="3">
        <f t="shared" si="12"/>
        <v>100</v>
      </c>
      <c r="AU52" s="3">
        <f t="shared" si="13"/>
        <v>40</v>
      </c>
      <c r="AV52" s="3" t="s">
        <v>973</v>
      </c>
      <c r="AW52" s="3">
        <v>30</v>
      </c>
      <c r="AX52" s="18" t="s">
        <v>816</v>
      </c>
      <c r="AY52" s="37" t="s">
        <v>866</v>
      </c>
    </row>
    <row r="53" spans="1:51" ht="120" hidden="1" customHeight="1" x14ac:dyDescent="0.3">
      <c r="A53" s="12" t="s">
        <v>323</v>
      </c>
      <c r="B53" s="3" t="s">
        <v>83</v>
      </c>
      <c r="C53" s="3" t="s">
        <v>324</v>
      </c>
      <c r="D53" s="3" t="s">
        <v>325</v>
      </c>
      <c r="E53" s="3" t="s">
        <v>243</v>
      </c>
      <c r="F53" s="3" t="s">
        <v>326</v>
      </c>
      <c r="G53" s="3" t="s">
        <v>284</v>
      </c>
      <c r="H53" s="3"/>
      <c r="I53" s="3"/>
      <c r="J53" s="3" t="s">
        <v>258</v>
      </c>
      <c r="K53" s="10">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c r="AB53" s="5"/>
      <c r="AC53" s="5"/>
      <c r="AD53" s="5"/>
      <c r="AE53" s="5">
        <v>46157</v>
      </c>
      <c r="AF53" s="3" t="s">
        <v>924</v>
      </c>
      <c r="AG53" s="3" t="s">
        <v>925</v>
      </c>
      <c r="AH53" s="5">
        <v>46152</v>
      </c>
      <c r="AI53" s="3">
        <v>127</v>
      </c>
      <c r="AJ53" s="3"/>
      <c r="AK53" s="3"/>
      <c r="AL53" s="3" t="str">
        <f t="shared" ref="AL53:AL58" si="14">IF(AND($X53&gt;1.3,$G53="CONTRATADO EN EJECUCIÓN"),0,IF(AND($X53&gt;1.25,$X53&lt;=1.3,$G53="CONTRATADO EN EJECUCIÓN"),30,IF(AND($X53&gt;1.2,$X53&lt;=1.25,$G53="CONTRATADO EN EJECUCIÓN"),90,IF(AND($X53&gt;=0.84,$X53&lt;1.2,$G53="CONTRATADO EN EJECUCIÓN"),100,IF(AND($X53&gt;=0.38,$X53&lt;0.84,$G53="CONTRATADO EN EJECUCIÓN"),(($X53-0.38)/(0.84-0.38))*100,IF(AND($X53&lt;0.38,$G53="CONTRATADO EN EJECUCIÓN"),0,""))))))</f>
        <v/>
      </c>
      <c r="AM53" s="3" t="str">
        <f t="shared" ref="AM53:AM58" si="15">IF(AND($W53&gt;1.3,$G53="CONTRATADO EN EJECUCIÓN"),0,IF(AND($W53&gt;1.25,$W53&lt;=1.3,$G53="CONTRATADO EN EJECUCIÓN"),30,IF(AND($W53&gt;1.2,$W53&lt;=1.25,$G53="CONTRATADO EN EJECUCIÓN"),90,IF(AND($W53&gt;=0.84,$W53&lt;1.2,$G53="CONTRATADO EN EJECUCIÓN"),100,IF(AND($W53&gt;=0.38,$W53&lt;0.84,$G53="CONTRATADO EN EJECUCIÓN"),(($W53-0.38)/(0.84-0.38))*100,IF(AND($W53&lt;0.38,$G53="CONTRATADO EN EJECUCIÓN"),0,""))))))</f>
        <v/>
      </c>
      <c r="AN53" s="3">
        <f t="shared" ref="AN53:AN58" si="16">IF(AND($V53&lt;60,($V53-$U53)&lt;=50),100,IF(AND($V53&lt;60,($V53-$U53)&gt;50),0,IF(AND($V53&gt;=60,$V53&lt;70,($V53-$U53)&lt;=40),100,IF(AND($V53&gt;=60,$V53&lt;70,($V53-$U53)&gt;40),0,IF(AND($V53&gt;=70,$V53&lt;80,($V53-$U53)&lt;=30),100,IF(AND($V53&gt;=70,$V53&lt;80,($V53-$U53)&gt;30),0,IF(AND($V53&gt;=80,$V53&lt;90,($V53-$U53)&lt;=20),100,IF(AND($V53&gt;=80,$V53&lt;90,($V53-$U53)&gt;20),0,IF(AND($V53&gt;=90,$V53&lt;=100,($V53-$U53)&lt;=10),100,IF(AND($V53&gt;=90,$V53&lt;=100,($V53-$U53)&gt;10),0,""))))))))))</f>
        <v>100</v>
      </c>
      <c r="AO53" s="3" t="str">
        <f t="shared" ref="AO53:AO58" si="17">IF(AND($U53&gt;$V53,$G53="CONTRATADO EN EJECUCIÓN"),100,IF(AND($V53&gt;$U53,($V53-$U53)&gt;50,$G53="CONTRATADO EN EJECUCIÓN"),0,IF(AND($V53&gt;$U53,($V53-$U53)&lt;=50,$V53&lt;=60),100,IF(AND($V53&gt;$U53,($V53-$U53)&lt;=50,$V53&gt;60),$AN53,""))))</f>
        <v/>
      </c>
      <c r="AP53" s="3">
        <v>0</v>
      </c>
      <c r="AQ53" s="3">
        <v>100</v>
      </c>
      <c r="AR53" s="3">
        <f t="shared" ref="AR53:AR58" si="18">IF(ISNUMBER($AH53),IF(DAY($AH53)=10,100,IF(DAY($AH53)=11,80,IF(DAY($AH53)=12,50,0))),"")</f>
        <v>100</v>
      </c>
      <c r="AS53" s="4">
        <v>100</v>
      </c>
      <c r="AT53" s="3">
        <f t="shared" ref="AT53:AT58" si="19">IF($AP53=0,100,IF($AP53=1,90,IF($AP53=2,75,IF($AP53=3,60,IF($AP53=4,50,IF($AP53=5,25,IF($AP53&gt;=6,0,"")))))))</f>
        <v>100</v>
      </c>
      <c r="AU53" s="3" t="str">
        <f t="shared" ref="AU53:AU58" si="20">IFERROR(IF(AND($G53="CONTRATADO EN EJECUCIÓN",$AP53&gt;=1),(IFERROR(IF(ISTEXT($AF53),($AL53*0.4+$AM53*0.2+$AO53*0.4),""),""))*$AT53/100,IFERROR(IF(ISTEXT($AF53),($AL53*0.4+$AM53*0.2+$AO53*0.4),""),"")),0)</f>
        <v/>
      </c>
      <c r="AV53" s="25" t="s">
        <v>965</v>
      </c>
      <c r="AW53" s="3">
        <v>100</v>
      </c>
      <c r="AX53" s="18" t="s">
        <v>822</v>
      </c>
      <c r="AY53" s="37" t="s">
        <v>855</v>
      </c>
    </row>
    <row r="54" spans="1:51" ht="179.25" hidden="1" customHeight="1" x14ac:dyDescent="0.3">
      <c r="A54" s="12" t="s">
        <v>328</v>
      </c>
      <c r="B54" s="3" t="s">
        <v>83</v>
      </c>
      <c r="C54" s="3" t="s">
        <v>329</v>
      </c>
      <c r="D54" s="3" t="s">
        <v>330</v>
      </c>
      <c r="E54" s="3" t="s">
        <v>86</v>
      </c>
      <c r="F54" s="3" t="s">
        <v>331</v>
      </c>
      <c r="G54" s="3" t="s">
        <v>284</v>
      </c>
      <c r="H54" s="3"/>
      <c r="I54" s="3"/>
      <c r="J54" s="3" t="s">
        <v>189</v>
      </c>
      <c r="K54" s="10">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926</v>
      </c>
      <c r="AG54" s="3" t="s">
        <v>927</v>
      </c>
      <c r="AH54" s="5">
        <v>46152</v>
      </c>
      <c r="AI54" s="3">
        <v>47</v>
      </c>
      <c r="AJ54" s="3"/>
      <c r="AK54" s="3"/>
      <c r="AL54" s="3" t="str">
        <f t="shared" si="14"/>
        <v/>
      </c>
      <c r="AM54" s="3" t="str">
        <f t="shared" si="15"/>
        <v/>
      </c>
      <c r="AN54" s="3">
        <f t="shared" si="16"/>
        <v>100</v>
      </c>
      <c r="AO54" s="3" t="str">
        <f t="shared" si="17"/>
        <v/>
      </c>
      <c r="AP54" s="3">
        <v>0</v>
      </c>
      <c r="AQ54" s="3">
        <v>100</v>
      </c>
      <c r="AR54" s="3">
        <f t="shared" si="18"/>
        <v>100</v>
      </c>
      <c r="AS54" s="4">
        <v>100</v>
      </c>
      <c r="AT54" s="3">
        <f t="shared" si="19"/>
        <v>100</v>
      </c>
      <c r="AU54" s="3" t="str">
        <f t="shared" si="20"/>
        <v/>
      </c>
      <c r="AV54" s="3" t="s">
        <v>966</v>
      </c>
      <c r="AW54" s="3">
        <v>100</v>
      </c>
      <c r="AX54" s="18" t="s">
        <v>816</v>
      </c>
      <c r="AY54" s="37" t="s">
        <v>841</v>
      </c>
    </row>
    <row r="55" spans="1:51" ht="254.25" hidden="1" customHeight="1" x14ac:dyDescent="0.3">
      <c r="A55" s="3" t="s">
        <v>332</v>
      </c>
      <c r="B55" s="3" t="s">
        <v>230</v>
      </c>
      <c r="C55" s="3" t="s">
        <v>333</v>
      </c>
      <c r="D55" s="3" t="s">
        <v>334</v>
      </c>
      <c r="E55" s="3" t="s">
        <v>233</v>
      </c>
      <c r="F55" s="3" t="s">
        <v>335</v>
      </c>
      <c r="G55" s="3" t="s">
        <v>302</v>
      </c>
      <c r="H55" s="3" t="s">
        <v>303</v>
      </c>
      <c r="I55" s="3" t="s">
        <v>295</v>
      </c>
      <c r="J55" s="3" t="s">
        <v>89</v>
      </c>
      <c r="K55" s="4">
        <v>1265672010</v>
      </c>
      <c r="L55" s="4">
        <v>0</v>
      </c>
      <c r="M55" s="4">
        <v>0</v>
      </c>
      <c r="N55" s="4">
        <v>0</v>
      </c>
      <c r="O55" s="4">
        <v>1265672010</v>
      </c>
      <c r="P55" s="4">
        <v>0</v>
      </c>
      <c r="Q55" s="5"/>
      <c r="R55" s="5">
        <v>45973</v>
      </c>
      <c r="S55" s="5">
        <v>45979</v>
      </c>
      <c r="T55" s="5">
        <v>45975</v>
      </c>
      <c r="U55" s="4">
        <v>0</v>
      </c>
      <c r="V55" s="4">
        <v>0</v>
      </c>
      <c r="W55" s="9"/>
      <c r="X55" s="9"/>
      <c r="Y55" s="5">
        <v>45967</v>
      </c>
      <c r="Z55" s="5">
        <v>46076</v>
      </c>
      <c r="AA55" s="5">
        <v>46108</v>
      </c>
      <c r="AB55" s="5"/>
      <c r="AC55" s="5"/>
      <c r="AD55" s="5"/>
      <c r="AE55" s="5">
        <v>46157</v>
      </c>
      <c r="AF55" s="3" t="s">
        <v>928</v>
      </c>
      <c r="AG55" s="3" t="s">
        <v>929</v>
      </c>
      <c r="AH55" s="5">
        <v>46152</v>
      </c>
      <c r="AI55" s="3"/>
      <c r="AJ55" s="3"/>
      <c r="AK55" s="3">
        <v>19</v>
      </c>
      <c r="AL55" s="3" t="str">
        <f t="shared" si="14"/>
        <v/>
      </c>
      <c r="AM55" s="3" t="str">
        <f t="shared" si="15"/>
        <v/>
      </c>
      <c r="AN55" s="3">
        <f t="shared" si="16"/>
        <v>100</v>
      </c>
      <c r="AO55" s="3" t="str">
        <f t="shared" si="17"/>
        <v/>
      </c>
      <c r="AP55" s="3">
        <v>0</v>
      </c>
      <c r="AQ55" s="3">
        <v>100</v>
      </c>
      <c r="AR55" s="3">
        <f t="shared" si="18"/>
        <v>100</v>
      </c>
      <c r="AS55" s="4">
        <v>100</v>
      </c>
      <c r="AT55" s="3">
        <f t="shared" si="19"/>
        <v>100</v>
      </c>
      <c r="AU55" s="3" t="str">
        <f t="shared" si="20"/>
        <v/>
      </c>
      <c r="AV55" s="9" t="s">
        <v>275</v>
      </c>
      <c r="AW55" s="3">
        <v>100</v>
      </c>
      <c r="AX55" s="18" t="s">
        <v>822</v>
      </c>
      <c r="AY55" s="37" t="s">
        <v>868</v>
      </c>
    </row>
    <row r="56" spans="1:51" ht="244.5" hidden="1" customHeight="1" x14ac:dyDescent="0.3">
      <c r="A56" s="3" t="s">
        <v>336</v>
      </c>
      <c r="B56" s="3" t="s">
        <v>230</v>
      </c>
      <c r="C56" s="3" t="s">
        <v>337</v>
      </c>
      <c r="D56" s="3" t="s">
        <v>338</v>
      </c>
      <c r="E56" s="3" t="s">
        <v>233</v>
      </c>
      <c r="F56" s="3" t="s">
        <v>339</v>
      </c>
      <c r="G56" s="3" t="s">
        <v>302</v>
      </c>
      <c r="H56" s="3" t="s">
        <v>303</v>
      </c>
      <c r="I56" s="3" t="s">
        <v>295</v>
      </c>
      <c r="J56" s="3" t="s">
        <v>340</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930</v>
      </c>
      <c r="AG56" s="3" t="s">
        <v>931</v>
      </c>
      <c r="AH56" s="5">
        <v>46152</v>
      </c>
      <c r="AI56" s="3"/>
      <c r="AJ56" s="3"/>
      <c r="AK56" s="3">
        <v>70</v>
      </c>
      <c r="AL56" s="3" t="str">
        <f t="shared" si="14"/>
        <v/>
      </c>
      <c r="AM56" s="3" t="str">
        <f t="shared" si="15"/>
        <v/>
      </c>
      <c r="AN56" s="3">
        <f t="shared" si="16"/>
        <v>100</v>
      </c>
      <c r="AO56" s="3" t="str">
        <f t="shared" si="17"/>
        <v/>
      </c>
      <c r="AP56" s="3">
        <v>0</v>
      </c>
      <c r="AQ56" s="3">
        <v>0</v>
      </c>
      <c r="AR56" s="3">
        <f t="shared" si="18"/>
        <v>100</v>
      </c>
      <c r="AS56" s="4">
        <v>0</v>
      </c>
      <c r="AT56" s="3">
        <f t="shared" si="19"/>
        <v>100</v>
      </c>
      <c r="AU56" s="3" t="str">
        <f t="shared" si="20"/>
        <v/>
      </c>
      <c r="AV56" s="25" t="s">
        <v>972</v>
      </c>
      <c r="AW56" s="3">
        <v>0</v>
      </c>
      <c r="AX56" s="18" t="s">
        <v>822</v>
      </c>
      <c r="AY56" s="37" t="s">
        <v>869</v>
      </c>
    </row>
    <row r="57" spans="1:51" ht="143.25" hidden="1" customHeight="1" x14ac:dyDescent="0.3">
      <c r="A57" s="12" t="s">
        <v>341</v>
      </c>
      <c r="B57" s="3" t="s">
        <v>83</v>
      </c>
      <c r="C57" s="3" t="s">
        <v>342</v>
      </c>
      <c r="D57" s="3" t="s">
        <v>343</v>
      </c>
      <c r="E57" s="3" t="s">
        <v>243</v>
      </c>
      <c r="F57" s="3" t="s">
        <v>344</v>
      </c>
      <c r="G57" s="3" t="s">
        <v>284</v>
      </c>
      <c r="H57" s="3"/>
      <c r="I57" s="3"/>
      <c r="J57" s="3" t="s">
        <v>345</v>
      </c>
      <c r="K57" s="10">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932</v>
      </c>
      <c r="AG57" s="3" t="s">
        <v>933</v>
      </c>
      <c r="AH57" s="5">
        <v>46152</v>
      </c>
      <c r="AI57" s="3">
        <v>147</v>
      </c>
      <c r="AJ57" s="3"/>
      <c r="AK57" s="3"/>
      <c r="AL57" s="3" t="str">
        <f t="shared" si="14"/>
        <v/>
      </c>
      <c r="AM57" s="3" t="str">
        <f t="shared" si="15"/>
        <v/>
      </c>
      <c r="AN57" s="3">
        <f t="shared" si="16"/>
        <v>100</v>
      </c>
      <c r="AO57" s="3" t="str">
        <f t="shared" si="17"/>
        <v/>
      </c>
      <c r="AP57" s="3">
        <v>0</v>
      </c>
      <c r="AQ57" s="3">
        <v>100</v>
      </c>
      <c r="AR57" s="3">
        <f t="shared" si="18"/>
        <v>100</v>
      </c>
      <c r="AS57" s="4">
        <v>100</v>
      </c>
      <c r="AT57" s="3">
        <f t="shared" si="19"/>
        <v>100</v>
      </c>
      <c r="AU57" s="3" t="str">
        <f t="shared" si="20"/>
        <v/>
      </c>
      <c r="AV57" s="3" t="s">
        <v>967</v>
      </c>
      <c r="AW57" s="3">
        <v>100</v>
      </c>
      <c r="AX57" s="18" t="s">
        <v>822</v>
      </c>
      <c r="AY57" s="37" t="s">
        <v>841</v>
      </c>
    </row>
    <row r="58" spans="1:51" ht="97.5" hidden="1" customHeight="1" x14ac:dyDescent="0.3">
      <c r="A58" s="12" t="s">
        <v>346</v>
      </c>
      <c r="B58" s="3" t="s">
        <v>83</v>
      </c>
      <c r="C58" s="3" t="s">
        <v>347</v>
      </c>
      <c r="D58" s="3" t="s">
        <v>348</v>
      </c>
      <c r="E58" s="3" t="s">
        <v>186</v>
      </c>
      <c r="F58" s="3" t="s">
        <v>349</v>
      </c>
      <c r="G58" s="3" t="s">
        <v>284</v>
      </c>
      <c r="H58" s="3"/>
      <c r="I58" s="3"/>
      <c r="J58" s="3" t="s">
        <v>345</v>
      </c>
      <c r="K58" s="10">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932</v>
      </c>
      <c r="AG58" s="3" t="s">
        <v>934</v>
      </c>
      <c r="AH58" s="5">
        <v>46152</v>
      </c>
      <c r="AI58" s="3">
        <v>117</v>
      </c>
      <c r="AJ58" s="3"/>
      <c r="AK58" s="3"/>
      <c r="AL58" s="3" t="str">
        <f t="shared" si="14"/>
        <v/>
      </c>
      <c r="AM58" s="3" t="str">
        <f t="shared" si="15"/>
        <v/>
      </c>
      <c r="AN58" s="3">
        <f t="shared" si="16"/>
        <v>100</v>
      </c>
      <c r="AO58" s="3" t="str">
        <f t="shared" si="17"/>
        <v/>
      </c>
      <c r="AP58" s="3">
        <v>0</v>
      </c>
      <c r="AQ58" s="3">
        <v>100</v>
      </c>
      <c r="AR58" s="3">
        <f t="shared" si="18"/>
        <v>100</v>
      </c>
      <c r="AS58" s="4">
        <v>100</v>
      </c>
      <c r="AT58" s="3">
        <f t="shared" si="19"/>
        <v>100</v>
      </c>
      <c r="AU58" s="3" t="str">
        <f t="shared" si="20"/>
        <v/>
      </c>
      <c r="AV58" s="3" t="s">
        <v>968</v>
      </c>
      <c r="AW58" s="3">
        <v>100</v>
      </c>
      <c r="AX58" s="18" t="s">
        <v>817</v>
      </c>
      <c r="AY58" s="37" t="s">
        <v>840</v>
      </c>
    </row>
  </sheetData>
  <mergeCells count="3">
    <mergeCell ref="A1:T1"/>
    <mergeCell ref="U1:AP1"/>
    <mergeCell ref="AQ1:AV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18"/>
  <sheetViews>
    <sheetView workbookViewId="0">
      <selection activeCell="A3" sqref="A3:A18"/>
    </sheetView>
  </sheetViews>
  <sheetFormatPr baseColWidth="10" defaultColWidth="9.109375" defaultRowHeight="14.4" x14ac:dyDescent="0.3"/>
  <cols>
    <col min="1" max="2" width="25.6640625" customWidth="1"/>
    <col min="3" max="3" width="36.6640625" customWidth="1"/>
    <col min="4" max="4" width="37.33203125" customWidth="1"/>
    <col min="5" max="38" width="25.6640625" customWidth="1"/>
    <col min="39" max="39" width="30.33203125" customWidth="1"/>
  </cols>
  <sheetData>
    <row r="1" spans="1:39" ht="39.9" customHeight="1" x14ac:dyDescent="0.3">
      <c r="A1" s="44" t="s">
        <v>0</v>
      </c>
      <c r="B1" s="44"/>
      <c r="C1" s="44"/>
      <c r="D1" s="44"/>
      <c r="E1" s="44"/>
      <c r="F1" s="44"/>
      <c r="G1" s="44"/>
      <c r="H1" s="44"/>
      <c r="I1" s="44"/>
      <c r="J1" s="44"/>
      <c r="K1" s="44"/>
      <c r="L1" s="44"/>
      <c r="M1" s="44"/>
      <c r="N1" s="44"/>
      <c r="O1" s="45" t="s">
        <v>1</v>
      </c>
      <c r="P1" s="45"/>
      <c r="Q1" s="45"/>
      <c r="R1" s="45"/>
      <c r="S1" s="45"/>
      <c r="T1" s="45"/>
      <c r="U1" s="45"/>
      <c r="V1" s="45"/>
      <c r="W1" s="45"/>
      <c r="X1" s="45"/>
      <c r="Y1" s="45"/>
      <c r="Z1" s="45"/>
      <c r="AA1" s="45"/>
      <c r="AB1" s="45"/>
      <c r="AC1" s="45"/>
      <c r="AD1" s="45"/>
      <c r="AE1" s="45"/>
      <c r="AF1" s="45"/>
      <c r="AG1" s="44" t="s">
        <v>2</v>
      </c>
      <c r="AH1" s="44"/>
      <c r="AI1" s="44"/>
      <c r="AJ1" s="44"/>
      <c r="AK1" s="44"/>
      <c r="AL1" s="44"/>
    </row>
    <row r="2" spans="1:39" ht="69.900000000000006" customHeight="1" x14ac:dyDescent="0.3">
      <c r="A2" s="1" t="s">
        <v>3</v>
      </c>
      <c r="B2" s="1" t="s">
        <v>354</v>
      </c>
      <c r="C2" s="1" t="s">
        <v>355</v>
      </c>
      <c r="D2" s="1" t="s">
        <v>356</v>
      </c>
      <c r="E2" s="1" t="s">
        <v>7</v>
      </c>
      <c r="F2" s="1" t="s">
        <v>357</v>
      </c>
      <c r="G2" s="1" t="s">
        <v>9</v>
      </c>
      <c r="H2" s="1" t="s">
        <v>10</v>
      </c>
      <c r="I2" s="1" t="s">
        <v>13</v>
      </c>
      <c r="J2" s="1" t="s">
        <v>15</v>
      </c>
      <c r="K2" s="1" t="s">
        <v>358</v>
      </c>
      <c r="L2" s="1" t="s">
        <v>20</v>
      </c>
      <c r="M2" s="1" t="s">
        <v>21</v>
      </c>
      <c r="N2" s="1" t="s">
        <v>22</v>
      </c>
      <c r="O2" s="2" t="s">
        <v>359</v>
      </c>
      <c r="P2" s="2" t="s">
        <v>24</v>
      </c>
      <c r="Q2" s="2" t="s">
        <v>25</v>
      </c>
      <c r="R2" s="2" t="s">
        <v>26</v>
      </c>
      <c r="S2" s="2" t="s">
        <v>27</v>
      </c>
      <c r="T2" s="2" t="s">
        <v>28</v>
      </c>
      <c r="U2" s="2" t="s">
        <v>29</v>
      </c>
      <c r="V2" s="2" t="s">
        <v>30</v>
      </c>
      <c r="W2" s="2" t="s">
        <v>31</v>
      </c>
      <c r="X2" s="2" t="s">
        <v>33</v>
      </c>
      <c r="Y2" s="2" t="s">
        <v>37</v>
      </c>
      <c r="Z2" s="2" t="s">
        <v>38</v>
      </c>
      <c r="AA2" s="2" t="s">
        <v>39</v>
      </c>
      <c r="AB2" s="2" t="s">
        <v>40</v>
      </c>
      <c r="AC2" s="2" t="s">
        <v>41</v>
      </c>
      <c r="AD2" s="2" t="s">
        <v>42</v>
      </c>
      <c r="AE2" s="2" t="s">
        <v>43</v>
      </c>
      <c r="AF2" s="2" t="s">
        <v>44</v>
      </c>
      <c r="AG2" s="1" t="s">
        <v>45</v>
      </c>
      <c r="AH2" s="1" t="s">
        <v>46</v>
      </c>
      <c r="AI2" s="1" t="s">
        <v>47</v>
      </c>
      <c r="AJ2" s="1" t="s">
        <v>48</v>
      </c>
      <c r="AK2" s="1" t="s">
        <v>49</v>
      </c>
      <c r="AL2" s="1" t="s">
        <v>50</v>
      </c>
      <c r="AM2" s="22" t="s">
        <v>871</v>
      </c>
    </row>
    <row r="3" spans="1:39" ht="69.900000000000006" customHeight="1" x14ac:dyDescent="0.3">
      <c r="A3" s="3" t="s">
        <v>360</v>
      </c>
      <c r="B3" s="3" t="s">
        <v>361</v>
      </c>
      <c r="C3" s="3" t="s">
        <v>362</v>
      </c>
      <c r="D3" s="3" t="s">
        <v>363</v>
      </c>
      <c r="E3" s="3" t="s">
        <v>238</v>
      </c>
      <c r="F3" s="3" t="s">
        <v>364</v>
      </c>
      <c r="G3" s="3" t="s">
        <v>57</v>
      </c>
      <c r="H3" s="3" t="s">
        <v>365</v>
      </c>
      <c r="I3" s="4">
        <v>2006938345.6700001</v>
      </c>
      <c r="J3" s="4">
        <v>398005572.76999998</v>
      </c>
      <c r="K3" s="4">
        <v>2404943918.4400001</v>
      </c>
      <c r="L3" s="5">
        <v>44196</v>
      </c>
      <c r="M3" s="5">
        <f>+OtrosEjecutoresDescentralizadas[[#This Row],[FECHA DE MIGRACIÓN A GESPROY]]+1</f>
        <v>44197</v>
      </c>
      <c r="N3" s="13">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IFERROR(IF(AND($G3="CONTRATADO EN EJECUCIÓN",$AF3&gt;=1),(IFERROR(IF(ISNUMBER($AH3),($AB3*0.4+$AC3*0.2+$AE3*0.4),""),""))*$AJ3/100,IFERROR(IF(ISNUMBER($AH3),($AB3*0.4+$AC3*0.2+$AE3*0.4),""),"")),0)</f>
        <v/>
      </c>
      <c r="AL3" s="3" t="s">
        <v>366</v>
      </c>
      <c r="AM3" s="37" t="s">
        <v>840</v>
      </c>
    </row>
    <row r="4" spans="1:39" ht="69.900000000000006" customHeight="1" x14ac:dyDescent="0.3">
      <c r="A4" s="3" t="s">
        <v>367</v>
      </c>
      <c r="B4" s="3" t="s">
        <v>361</v>
      </c>
      <c r="C4" s="3" t="s">
        <v>368</v>
      </c>
      <c r="D4" s="3" t="s">
        <v>369</v>
      </c>
      <c r="E4" s="3" t="s">
        <v>238</v>
      </c>
      <c r="F4" s="3" t="s">
        <v>370</v>
      </c>
      <c r="G4" s="3" t="s">
        <v>57</v>
      </c>
      <c r="H4" s="3" t="s">
        <v>365</v>
      </c>
      <c r="I4" s="4">
        <v>1295118639.0699999</v>
      </c>
      <c r="J4" s="4">
        <v>143902071.00999999</v>
      </c>
      <c r="K4" s="4">
        <v>1439020710.0799999</v>
      </c>
      <c r="L4" s="5">
        <v>44196</v>
      </c>
      <c r="M4" s="5">
        <f>+OtrosEjecutoresDescentralizadas[[#This Row],[FECHA DE MIGRACIÓN A GESPROY]]+1</f>
        <v>44197</v>
      </c>
      <c r="N4" s="13">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366</v>
      </c>
      <c r="AM4" s="37" t="s">
        <v>872</v>
      </c>
    </row>
    <row r="5" spans="1:39" ht="156" customHeight="1" x14ac:dyDescent="0.3">
      <c r="A5" s="8">
        <v>2021000020028</v>
      </c>
      <c r="B5" s="3" t="s">
        <v>371</v>
      </c>
      <c r="C5" s="3" t="s">
        <v>372</v>
      </c>
      <c r="D5" s="3" t="s">
        <v>373</v>
      </c>
      <c r="E5" s="3" t="s">
        <v>55</v>
      </c>
      <c r="F5" s="3" t="s">
        <v>148</v>
      </c>
      <c r="G5" s="3" t="s">
        <v>67</v>
      </c>
      <c r="H5" s="3" t="s">
        <v>374</v>
      </c>
      <c r="I5" s="4">
        <v>3153851580.9099998</v>
      </c>
      <c r="J5" s="4">
        <v>0</v>
      </c>
      <c r="K5" s="4">
        <v>3153851580.9099998</v>
      </c>
      <c r="L5" s="5">
        <v>44567</v>
      </c>
      <c r="M5" s="5">
        <f>+OtrosEjecutoresDescentralizadas[[#This Row],[FECHA DE MIGRACIÓN A GESPROY]]+1</f>
        <v>44568</v>
      </c>
      <c r="N5" s="23"/>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149</v>
      </c>
      <c r="AM5" s="37" t="s">
        <v>872</v>
      </c>
    </row>
    <row r="6" spans="1:39" ht="69.900000000000006" customHeight="1" x14ac:dyDescent="0.3">
      <c r="A6" s="3" t="s">
        <v>375</v>
      </c>
      <c r="B6" s="3" t="s">
        <v>361</v>
      </c>
      <c r="C6" s="3" t="s">
        <v>376</v>
      </c>
      <c r="D6" s="3" t="s">
        <v>377</v>
      </c>
      <c r="E6" s="3" t="s">
        <v>238</v>
      </c>
      <c r="F6" s="3" t="s">
        <v>378</v>
      </c>
      <c r="G6" s="3" t="s">
        <v>67</v>
      </c>
      <c r="H6" s="3" t="s">
        <v>379</v>
      </c>
      <c r="I6" s="4">
        <v>6026477761</v>
      </c>
      <c r="J6" s="4">
        <v>4412367709</v>
      </c>
      <c r="K6" s="4">
        <v>10438845470</v>
      </c>
      <c r="L6" s="5">
        <v>44623</v>
      </c>
      <c r="M6" s="5">
        <f>+OtrosEjecutoresDescentralizadas[[#This Row],[FECHA DE MIGRACIÓN A GESPROY]]+1</f>
        <v>44624</v>
      </c>
      <c r="N6" s="13">
        <v>44509</v>
      </c>
      <c r="O6" s="4">
        <v>73.45</v>
      </c>
      <c r="P6" s="4">
        <v>49.45</v>
      </c>
      <c r="Q6" s="3">
        <v>0</v>
      </c>
      <c r="R6" s="3">
        <v>0</v>
      </c>
      <c r="S6" s="5">
        <v>44503</v>
      </c>
      <c r="T6" s="5">
        <v>44643</v>
      </c>
      <c r="U6" s="5">
        <v>44706</v>
      </c>
      <c r="V6" s="5">
        <v>44810</v>
      </c>
      <c r="W6" s="5"/>
      <c r="X6" s="5">
        <v>46127</v>
      </c>
      <c r="Y6" s="3"/>
      <c r="Z6" s="3"/>
      <c r="AA6" s="3"/>
      <c r="AB6" s="3">
        <f t="shared" si="0"/>
        <v>0</v>
      </c>
      <c r="AC6" s="3">
        <f t="shared" si="1"/>
        <v>0</v>
      </c>
      <c r="AD6" s="3">
        <f t="shared" si="2"/>
        <v>100</v>
      </c>
      <c r="AE6" s="3">
        <f t="shared" si="3"/>
        <v>100</v>
      </c>
      <c r="AF6" s="3">
        <v>4</v>
      </c>
      <c r="AG6" s="3"/>
      <c r="AH6" s="3">
        <v>100</v>
      </c>
      <c r="AI6" s="3">
        <v>100</v>
      </c>
      <c r="AJ6" s="3">
        <f t="shared" si="4"/>
        <v>50</v>
      </c>
      <c r="AK6" s="3">
        <f t="shared" si="5"/>
        <v>20</v>
      </c>
      <c r="AL6" s="3" t="s">
        <v>796</v>
      </c>
      <c r="AM6" s="37" t="s">
        <v>872</v>
      </c>
    </row>
    <row r="7" spans="1:39" ht="69.900000000000006" customHeight="1" x14ac:dyDescent="0.3">
      <c r="A7" s="8">
        <v>20221301010208</v>
      </c>
      <c r="B7" s="3" t="s">
        <v>361</v>
      </c>
      <c r="C7" s="3" t="s">
        <v>380</v>
      </c>
      <c r="D7" s="3" t="s">
        <v>381</v>
      </c>
      <c r="E7" s="3" t="s">
        <v>238</v>
      </c>
      <c r="F7" s="3" t="s">
        <v>382</v>
      </c>
      <c r="G7" s="3" t="s">
        <v>67</v>
      </c>
      <c r="H7" s="3" t="s">
        <v>374</v>
      </c>
      <c r="I7" s="4">
        <v>1800000000</v>
      </c>
      <c r="J7" s="4">
        <v>3595445276.02</v>
      </c>
      <c r="K7" s="4">
        <v>5395445276.0200005</v>
      </c>
      <c r="L7" s="5">
        <v>44924</v>
      </c>
      <c r="M7" s="5">
        <f>+OtrosEjecutoresDescentralizadas[[#This Row],[FECHA DE MIGRACIÓN A GESPROY]]+1</f>
        <v>44925</v>
      </c>
      <c r="N7" s="13">
        <v>44930</v>
      </c>
      <c r="O7" s="4">
        <v>64.010000000000005</v>
      </c>
      <c r="P7" s="4">
        <v>45.29</v>
      </c>
      <c r="Q7" s="3">
        <v>0</v>
      </c>
      <c r="R7" s="3">
        <v>0</v>
      </c>
      <c r="S7" s="5">
        <v>44924</v>
      </c>
      <c r="T7" s="5">
        <v>45093</v>
      </c>
      <c r="U7" s="5">
        <v>45043</v>
      </c>
      <c r="V7" s="5">
        <v>45175</v>
      </c>
      <c r="W7" s="5"/>
      <c r="X7" s="5">
        <v>46127</v>
      </c>
      <c r="Y7" s="3"/>
      <c r="Z7" s="3"/>
      <c r="AA7" s="3"/>
      <c r="AB7" s="3">
        <f t="shared" si="0"/>
        <v>0</v>
      </c>
      <c r="AC7" s="3">
        <f t="shared" si="1"/>
        <v>0</v>
      </c>
      <c r="AD7" s="3">
        <f t="shared" si="2"/>
        <v>100</v>
      </c>
      <c r="AE7" s="3">
        <f t="shared" si="3"/>
        <v>100</v>
      </c>
      <c r="AF7" s="3">
        <v>4</v>
      </c>
      <c r="AG7" s="3"/>
      <c r="AH7" s="3">
        <v>100</v>
      </c>
      <c r="AI7" s="3">
        <v>100</v>
      </c>
      <c r="AJ7" s="3">
        <f t="shared" si="4"/>
        <v>50</v>
      </c>
      <c r="AK7" s="3">
        <f t="shared" si="5"/>
        <v>20</v>
      </c>
      <c r="AL7" s="3" t="s">
        <v>796</v>
      </c>
      <c r="AM7" s="37" t="s">
        <v>872</v>
      </c>
    </row>
    <row r="8" spans="1:39" ht="69.900000000000006" customHeight="1" x14ac:dyDescent="0.3">
      <c r="A8" s="3" t="s">
        <v>383</v>
      </c>
      <c r="B8" s="3" t="s">
        <v>371</v>
      </c>
      <c r="C8" s="3" t="s">
        <v>384</v>
      </c>
      <c r="D8" s="3" t="s">
        <v>385</v>
      </c>
      <c r="E8" s="3" t="s">
        <v>55</v>
      </c>
      <c r="F8" s="3" t="s">
        <v>89</v>
      </c>
      <c r="G8" s="3" t="s">
        <v>57</v>
      </c>
      <c r="H8" s="3" t="s">
        <v>365</v>
      </c>
      <c r="I8" s="4">
        <v>1702007732.2</v>
      </c>
      <c r="J8" s="4">
        <v>0</v>
      </c>
      <c r="K8" s="4">
        <v>1702007732.2</v>
      </c>
      <c r="L8" s="5">
        <v>45225</v>
      </c>
      <c r="M8" s="5">
        <f>+OtrosEjecutoresDescentralizadas[[#This Row],[FECHA DE MIGRACIÓN A GESPROY]]+1</f>
        <v>45226</v>
      </c>
      <c r="N8" s="13">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366</v>
      </c>
      <c r="AM8" s="37" t="s">
        <v>873</v>
      </c>
    </row>
    <row r="9" spans="1:39" ht="93" customHeight="1" x14ac:dyDescent="0.3">
      <c r="A9" s="3" t="s">
        <v>386</v>
      </c>
      <c r="B9" s="3" t="s">
        <v>371</v>
      </c>
      <c r="C9" s="3" t="s">
        <v>387</v>
      </c>
      <c r="D9" s="3" t="s">
        <v>388</v>
      </c>
      <c r="E9" s="3" t="s">
        <v>243</v>
      </c>
      <c r="F9" s="3" t="s">
        <v>389</v>
      </c>
      <c r="G9" s="3" t="s">
        <v>57</v>
      </c>
      <c r="H9" s="3" t="s">
        <v>365</v>
      </c>
      <c r="I9" s="4">
        <v>13713002364.719999</v>
      </c>
      <c r="J9" s="4">
        <v>0</v>
      </c>
      <c r="K9" s="4">
        <v>13713002364.719999</v>
      </c>
      <c r="L9" s="5">
        <v>45301</v>
      </c>
      <c r="M9" s="5">
        <f>+OtrosEjecutoresDescentralizadas[[#This Row],[FECHA DE MIGRACIÓN A GESPROY]]+1</f>
        <v>45302</v>
      </c>
      <c r="N9" s="13">
        <v>45290</v>
      </c>
      <c r="O9" s="4">
        <v>100</v>
      </c>
      <c r="P9" s="4">
        <v>99.99</v>
      </c>
      <c r="Q9" s="3"/>
      <c r="R9" s="3"/>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366</v>
      </c>
      <c r="AM9" s="37" t="s">
        <v>872</v>
      </c>
    </row>
    <row r="10" spans="1:39" ht="69.900000000000006" customHeight="1" x14ac:dyDescent="0.3">
      <c r="A10" s="3" t="s">
        <v>390</v>
      </c>
      <c r="B10" s="3" t="s">
        <v>371</v>
      </c>
      <c r="C10" s="3" t="s">
        <v>391</v>
      </c>
      <c r="D10" s="3" t="s">
        <v>392</v>
      </c>
      <c r="E10" s="3" t="s">
        <v>194</v>
      </c>
      <c r="F10" s="3" t="s">
        <v>89</v>
      </c>
      <c r="G10" s="3" t="s">
        <v>67</v>
      </c>
      <c r="H10" s="3" t="s">
        <v>374</v>
      </c>
      <c r="I10" s="4">
        <v>9056051736.6399994</v>
      </c>
      <c r="J10" s="4">
        <v>0</v>
      </c>
      <c r="K10" s="4">
        <v>9056051736.6399994</v>
      </c>
      <c r="L10" s="5">
        <v>45301</v>
      </c>
      <c r="M10" s="5">
        <f>+OtrosEjecutoresDescentralizadas[[#This Row],[FECHA DE MIGRACIÓN A GESPROY]]+1</f>
        <v>45302</v>
      </c>
      <c r="N10" s="13">
        <v>45290</v>
      </c>
      <c r="O10" s="4">
        <v>26.22</v>
      </c>
      <c r="P10" s="4">
        <v>41.84</v>
      </c>
      <c r="Q10" s="3">
        <v>1</v>
      </c>
      <c r="R10" s="3">
        <v>0.69</v>
      </c>
      <c r="S10" s="5">
        <v>45290</v>
      </c>
      <c r="T10" s="5">
        <v>45491</v>
      </c>
      <c r="U10" s="5">
        <v>45582</v>
      </c>
      <c r="V10" s="5">
        <v>45772</v>
      </c>
      <c r="W10" s="5"/>
      <c r="X10" s="5">
        <v>46096</v>
      </c>
      <c r="Y10" s="3"/>
      <c r="Z10" s="3"/>
      <c r="AA10" s="3"/>
      <c r="AB10" s="6">
        <f t="shared" si="0"/>
        <v>67.391304347826079</v>
      </c>
      <c r="AC10" s="3">
        <f t="shared" si="1"/>
        <v>100</v>
      </c>
      <c r="AD10" s="3">
        <f t="shared" si="2"/>
        <v>100</v>
      </c>
      <c r="AE10" s="3">
        <f t="shared" si="3"/>
        <v>100</v>
      </c>
      <c r="AF10" s="3"/>
      <c r="AG10" s="3"/>
      <c r="AH10" s="3">
        <v>100</v>
      </c>
      <c r="AI10" s="3">
        <v>100</v>
      </c>
      <c r="AJ10" s="3">
        <f t="shared" si="4"/>
        <v>100</v>
      </c>
      <c r="AK10" s="6">
        <f t="shared" si="5"/>
        <v>86.956521739130437</v>
      </c>
      <c r="AL10" s="3"/>
      <c r="AM10" s="37" t="s">
        <v>852</v>
      </c>
    </row>
    <row r="11" spans="1:39" ht="69.900000000000006" customHeight="1" x14ac:dyDescent="0.3">
      <c r="A11" s="3" t="s">
        <v>393</v>
      </c>
      <c r="B11" s="3" t="s">
        <v>361</v>
      </c>
      <c r="C11" s="3" t="s">
        <v>394</v>
      </c>
      <c r="D11" s="3" t="s">
        <v>395</v>
      </c>
      <c r="E11" s="3" t="s">
        <v>238</v>
      </c>
      <c r="F11" s="3" t="s">
        <v>89</v>
      </c>
      <c r="G11" s="3" t="s">
        <v>67</v>
      </c>
      <c r="H11" s="3" t="s">
        <v>374</v>
      </c>
      <c r="I11" s="4">
        <v>7862105021</v>
      </c>
      <c r="J11" s="4">
        <v>0</v>
      </c>
      <c r="K11" s="4">
        <v>7862105021</v>
      </c>
      <c r="L11" s="5">
        <v>45477</v>
      </c>
      <c r="M11" s="5">
        <f>+OtrosEjecutoresDescentralizadas[[#This Row],[FECHA DE MIGRACIÓN A GESPROY]]+1</f>
        <v>45478</v>
      </c>
      <c r="N11" s="13">
        <v>45485</v>
      </c>
      <c r="O11" s="4">
        <v>94.53</v>
      </c>
      <c r="P11" s="4">
        <v>89.87</v>
      </c>
      <c r="Q11" s="3">
        <v>1</v>
      </c>
      <c r="R11" s="3">
        <v>0.99</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c r="AM11" s="37" t="s">
        <v>845</v>
      </c>
    </row>
    <row r="12" spans="1:39" ht="97.5" customHeight="1" x14ac:dyDescent="0.3">
      <c r="A12" s="3" t="s">
        <v>396</v>
      </c>
      <c r="B12" s="3" t="s">
        <v>397</v>
      </c>
      <c r="C12" s="3" t="s">
        <v>398</v>
      </c>
      <c r="D12" s="3" t="s">
        <v>399</v>
      </c>
      <c r="E12" s="3" t="s">
        <v>221</v>
      </c>
      <c r="F12" s="3" t="s">
        <v>89</v>
      </c>
      <c r="G12" s="3" t="s">
        <v>67</v>
      </c>
      <c r="H12" s="3" t="s">
        <v>374</v>
      </c>
      <c r="I12" s="4">
        <v>15100656106.639999</v>
      </c>
      <c r="J12" s="4">
        <v>0</v>
      </c>
      <c r="K12" s="4">
        <v>15100656106.639999</v>
      </c>
      <c r="L12" s="5">
        <v>45474</v>
      </c>
      <c r="M12" s="5">
        <f>+OtrosEjecutoresDescentralizadas[[#This Row],[FECHA DE MIGRACIÓN A GESPROY]]+1</f>
        <v>45475</v>
      </c>
      <c r="N12" s="13">
        <v>45506</v>
      </c>
      <c r="O12" s="4">
        <v>99.98</v>
      </c>
      <c r="P12" s="4">
        <v>88.74</v>
      </c>
      <c r="Q12" s="3">
        <v>0</v>
      </c>
      <c r="R12" s="3">
        <v>0</v>
      </c>
      <c r="S12" s="5">
        <v>45470</v>
      </c>
      <c r="T12" s="5">
        <v>45544</v>
      </c>
      <c r="U12" s="5">
        <v>45716</v>
      </c>
      <c r="V12" s="5">
        <v>45723</v>
      </c>
      <c r="W12" s="5"/>
      <c r="X12" s="5">
        <v>46096</v>
      </c>
      <c r="Y12" s="3"/>
      <c r="Z12" s="3"/>
      <c r="AA12" s="3"/>
      <c r="AB12" s="3">
        <f t="shared" si="0"/>
        <v>0</v>
      </c>
      <c r="AC12" s="3">
        <f t="shared" si="1"/>
        <v>0</v>
      </c>
      <c r="AD12" s="3">
        <f t="shared" si="2"/>
        <v>100</v>
      </c>
      <c r="AE12" s="3">
        <f t="shared" si="3"/>
        <v>100</v>
      </c>
      <c r="AF12" s="3">
        <v>1</v>
      </c>
      <c r="AG12" s="3"/>
      <c r="AH12" s="3">
        <v>100</v>
      </c>
      <c r="AI12" s="3">
        <v>100</v>
      </c>
      <c r="AJ12" s="3">
        <f t="shared" si="4"/>
        <v>90</v>
      </c>
      <c r="AK12" s="3">
        <f t="shared" si="5"/>
        <v>36</v>
      </c>
      <c r="AL12" s="3" t="s">
        <v>797</v>
      </c>
      <c r="AM12" s="37" t="s">
        <v>874</v>
      </c>
    </row>
    <row r="13" spans="1:39" ht="69.900000000000006" customHeight="1" x14ac:dyDescent="0.3">
      <c r="A13" s="3" t="s">
        <v>400</v>
      </c>
      <c r="B13" s="3" t="s">
        <v>361</v>
      </c>
      <c r="C13" s="3" t="s">
        <v>401</v>
      </c>
      <c r="D13" s="3" t="s">
        <v>402</v>
      </c>
      <c r="E13" s="3" t="s">
        <v>233</v>
      </c>
      <c r="F13" s="3" t="s">
        <v>89</v>
      </c>
      <c r="G13" s="3" t="s">
        <v>67</v>
      </c>
      <c r="H13" s="3" t="s">
        <v>374</v>
      </c>
      <c r="I13" s="4">
        <v>3068416428</v>
      </c>
      <c r="J13" s="4">
        <v>0</v>
      </c>
      <c r="K13" s="4">
        <v>3068416428</v>
      </c>
      <c r="L13" s="5">
        <v>45658</v>
      </c>
      <c r="M13" s="5">
        <f>+OtrosEjecutoresDescentralizadas[[#This Row],[FECHA DE MIGRACIÓN A GESPROY]]+1</f>
        <v>45659</v>
      </c>
      <c r="N13" s="13">
        <v>45656</v>
      </c>
      <c r="O13" s="4">
        <v>96.73</v>
      </c>
      <c r="P13" s="4">
        <v>64.38</v>
      </c>
      <c r="Q13" s="3">
        <v>1</v>
      </c>
      <c r="R13" s="3">
        <v>1</v>
      </c>
      <c r="S13" s="5">
        <v>45650</v>
      </c>
      <c r="T13" s="5">
        <v>45849</v>
      </c>
      <c r="U13" s="5">
        <v>45852</v>
      </c>
      <c r="V13" s="5">
        <v>45863</v>
      </c>
      <c r="W13" s="5"/>
      <c r="X13" s="5">
        <v>46127</v>
      </c>
      <c r="Y13" s="3"/>
      <c r="Z13" s="3"/>
      <c r="AA13" s="3"/>
      <c r="AB13" s="3">
        <f t="shared" si="0"/>
        <v>100</v>
      </c>
      <c r="AC13" s="3">
        <f t="shared" si="1"/>
        <v>100</v>
      </c>
      <c r="AD13" s="3">
        <f t="shared" si="2"/>
        <v>100</v>
      </c>
      <c r="AE13" s="3">
        <f t="shared" si="3"/>
        <v>100</v>
      </c>
      <c r="AF13" s="3"/>
      <c r="AG13" s="3"/>
      <c r="AH13" s="3">
        <v>100</v>
      </c>
      <c r="AI13" s="3">
        <v>100</v>
      </c>
      <c r="AJ13" s="3">
        <f t="shared" si="4"/>
        <v>100</v>
      </c>
      <c r="AK13" s="3">
        <f t="shared" si="5"/>
        <v>100</v>
      </c>
      <c r="AL13" s="3"/>
      <c r="AM13" s="37" t="s">
        <v>841</v>
      </c>
    </row>
    <row r="14" spans="1:39" ht="69.900000000000006" customHeight="1" x14ac:dyDescent="0.3">
      <c r="A14" s="8">
        <v>2024002700193</v>
      </c>
      <c r="B14" s="3" t="s">
        <v>397</v>
      </c>
      <c r="C14" s="3" t="s">
        <v>403</v>
      </c>
      <c r="D14" s="3" t="s">
        <v>404</v>
      </c>
      <c r="E14" s="3" t="s">
        <v>221</v>
      </c>
      <c r="F14" s="3" t="s">
        <v>89</v>
      </c>
      <c r="G14" s="3" t="s">
        <v>67</v>
      </c>
      <c r="H14" s="3" t="s">
        <v>374</v>
      </c>
      <c r="I14" s="4">
        <v>63850574205.629997</v>
      </c>
      <c r="J14" s="4">
        <v>0</v>
      </c>
      <c r="K14" s="4">
        <v>63850574205.629997</v>
      </c>
      <c r="L14" s="5">
        <v>45658</v>
      </c>
      <c r="M14" s="5">
        <f>+OtrosEjecutoresDescentralizadas[[#This Row],[FECHA DE MIGRACIÓN A GESPROY]]+1</f>
        <v>45659</v>
      </c>
      <c r="N14" s="13">
        <v>45656</v>
      </c>
      <c r="O14" s="4">
        <v>24</v>
      </c>
      <c r="P14" s="4">
        <v>42.4</v>
      </c>
      <c r="Q14" s="3">
        <v>1</v>
      </c>
      <c r="R14" s="3">
        <v>0.48</v>
      </c>
      <c r="S14" s="5">
        <v>45653</v>
      </c>
      <c r="T14" s="5">
        <v>45656</v>
      </c>
      <c r="U14" s="5">
        <v>45672</v>
      </c>
      <c r="V14" s="5">
        <v>45672</v>
      </c>
      <c r="W14" s="5"/>
      <c r="X14" s="5">
        <v>46096</v>
      </c>
      <c r="Y14" s="3"/>
      <c r="Z14" s="3"/>
      <c r="AA14" s="3"/>
      <c r="AB14" s="3">
        <f t="shared" si="0"/>
        <v>21.739130434782606</v>
      </c>
      <c r="AC14" s="3">
        <f t="shared" si="1"/>
        <v>100</v>
      </c>
      <c r="AD14" s="3">
        <f t="shared" si="2"/>
        <v>100</v>
      </c>
      <c r="AE14" s="3">
        <f t="shared" si="3"/>
        <v>100</v>
      </c>
      <c r="AF14" s="3">
        <v>2</v>
      </c>
      <c r="AG14" s="3"/>
      <c r="AH14" s="3">
        <v>100</v>
      </c>
      <c r="AI14" s="3">
        <v>100</v>
      </c>
      <c r="AJ14" s="3">
        <f t="shared" si="4"/>
        <v>75</v>
      </c>
      <c r="AK14" s="7">
        <f t="shared" si="5"/>
        <v>51.521739130434788</v>
      </c>
      <c r="AL14" s="3"/>
      <c r="AM14" s="37" t="s">
        <v>872</v>
      </c>
    </row>
    <row r="15" spans="1:39" ht="69.900000000000006" customHeight="1" x14ac:dyDescent="0.3">
      <c r="A15" s="12" t="s">
        <v>405</v>
      </c>
      <c r="B15" s="12" t="s">
        <v>361</v>
      </c>
      <c r="C15" s="12" t="s">
        <v>406</v>
      </c>
      <c r="D15" s="3" t="s">
        <v>407</v>
      </c>
      <c r="E15" s="3" t="s">
        <v>238</v>
      </c>
      <c r="F15" s="3" t="s">
        <v>89</v>
      </c>
      <c r="G15" s="3" t="s">
        <v>67</v>
      </c>
      <c r="H15" s="3" t="s">
        <v>374</v>
      </c>
      <c r="I15" s="4">
        <v>11318403530.17</v>
      </c>
      <c r="J15" s="4">
        <v>0</v>
      </c>
      <c r="K15" s="4">
        <v>11318403530.17</v>
      </c>
      <c r="L15" s="5">
        <v>45822</v>
      </c>
      <c r="M15" s="5">
        <f>+OtrosEjecutoresDescentralizadas[[#This Row],[FECHA DE MIGRACIÓN A GESPROY]]+1</f>
        <v>45823</v>
      </c>
      <c r="N15" s="13">
        <v>45825</v>
      </c>
      <c r="O15" s="4">
        <v>8.77</v>
      </c>
      <c r="P15" s="4">
        <v>40</v>
      </c>
      <c r="Q15" s="3">
        <v>1</v>
      </c>
      <c r="R15" s="3">
        <v>0.93</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c r="AM15" s="37" t="s">
        <v>872</v>
      </c>
    </row>
    <row r="16" spans="1:39" ht="69.900000000000006" customHeight="1" x14ac:dyDescent="0.3">
      <c r="A16" s="12" t="s">
        <v>408</v>
      </c>
      <c r="B16" s="12" t="s">
        <v>397</v>
      </c>
      <c r="C16" s="12" t="s">
        <v>409</v>
      </c>
      <c r="D16" s="3" t="s">
        <v>410</v>
      </c>
      <c r="E16" s="3" t="s">
        <v>221</v>
      </c>
      <c r="F16" s="3" t="s">
        <v>189</v>
      </c>
      <c r="G16" s="3" t="s">
        <v>302</v>
      </c>
      <c r="H16" s="3" t="s">
        <v>411</v>
      </c>
      <c r="I16" s="4">
        <v>1903272161</v>
      </c>
      <c r="J16" s="4">
        <v>0</v>
      </c>
      <c r="K16" s="4">
        <v>1903272161</v>
      </c>
      <c r="L16" s="5">
        <v>45789</v>
      </c>
      <c r="M16" s="5">
        <f>+OtrosEjecutoresDescentralizadas[[#This Row],[FECHA DE MIGRACIÓN A GESPROY]]+1</f>
        <v>45790</v>
      </c>
      <c r="N16" s="13">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c r="AM16" s="37" t="s">
        <v>861</v>
      </c>
    </row>
    <row r="17" spans="1:39" ht="69.900000000000006" customHeight="1" x14ac:dyDescent="0.3">
      <c r="A17" s="12" t="s">
        <v>412</v>
      </c>
      <c r="B17" s="12" t="s">
        <v>397</v>
      </c>
      <c r="C17" s="12" t="s">
        <v>413</v>
      </c>
      <c r="D17" s="3" t="s">
        <v>414</v>
      </c>
      <c r="E17" s="3" t="s">
        <v>221</v>
      </c>
      <c r="F17" s="3" t="s">
        <v>189</v>
      </c>
      <c r="G17" s="3" t="s">
        <v>67</v>
      </c>
      <c r="H17" s="3" t="s">
        <v>374</v>
      </c>
      <c r="I17" s="4">
        <v>1484402616</v>
      </c>
      <c r="J17" s="4">
        <v>400000000</v>
      </c>
      <c r="K17" s="4">
        <v>1884402616</v>
      </c>
      <c r="L17" s="5"/>
      <c r="M17" s="5"/>
      <c r="N17" s="13">
        <v>45803</v>
      </c>
      <c r="O17" s="4">
        <v>0</v>
      </c>
      <c r="P17" s="4">
        <v>0</v>
      </c>
      <c r="Q17" s="3">
        <v>1</v>
      </c>
      <c r="R17" s="3">
        <v>1</v>
      </c>
      <c r="S17" s="5">
        <v>45796</v>
      </c>
      <c r="T17" s="5">
        <v>45947</v>
      </c>
      <c r="U17" s="5">
        <v>46112</v>
      </c>
      <c r="V17" s="5">
        <v>46120</v>
      </c>
      <c r="W17" s="5"/>
      <c r="X17" s="5">
        <v>46096</v>
      </c>
      <c r="Y17" s="3"/>
      <c r="Z17" s="3"/>
      <c r="AA17" s="3"/>
      <c r="AB17" s="3">
        <f t="shared" si="0"/>
        <v>100</v>
      </c>
      <c r="AC17" s="3">
        <f t="shared" si="1"/>
        <v>100</v>
      </c>
      <c r="AD17" s="3">
        <f t="shared" si="2"/>
        <v>100</v>
      </c>
      <c r="AE17" s="3" t="str">
        <f t="shared" si="3"/>
        <v/>
      </c>
      <c r="AF17" s="3"/>
      <c r="AG17" s="3"/>
      <c r="AH17" s="3">
        <v>100</v>
      </c>
      <c r="AI17" s="3">
        <v>100</v>
      </c>
      <c r="AJ17" s="3">
        <f t="shared" si="4"/>
        <v>100</v>
      </c>
      <c r="AK17" s="3" t="str">
        <f t="shared" si="5"/>
        <v/>
      </c>
      <c r="AL17" s="3"/>
      <c r="AM17" s="37" t="s">
        <v>875</v>
      </c>
    </row>
    <row r="18" spans="1:39" ht="144" customHeight="1" x14ac:dyDescent="0.3">
      <c r="A18" s="12" t="s">
        <v>415</v>
      </c>
      <c r="B18" s="12" t="s">
        <v>361</v>
      </c>
      <c r="C18" s="12" t="s">
        <v>416</v>
      </c>
      <c r="D18" s="3" t="s">
        <v>417</v>
      </c>
      <c r="E18" s="3" t="s">
        <v>238</v>
      </c>
      <c r="F18" s="3" t="s">
        <v>418</v>
      </c>
      <c r="G18" s="3" t="s">
        <v>284</v>
      </c>
      <c r="H18" s="3" t="s">
        <v>419</v>
      </c>
      <c r="I18" s="4">
        <v>627486059.86000001</v>
      </c>
      <c r="J18" s="4">
        <v>1650000000</v>
      </c>
      <c r="K18" s="4">
        <v>2277486059.8600001</v>
      </c>
      <c r="L18" s="5">
        <v>46118</v>
      </c>
      <c r="M18" s="5">
        <f>+OtrosEjecutoresDescentralizadas[[#This Row],[FECHA DE MIGRACIÓN A GESPROY]]+1</f>
        <v>46119</v>
      </c>
      <c r="N18" s="20">
        <v>46119</v>
      </c>
      <c r="O18" s="4">
        <v>0</v>
      </c>
      <c r="P18" s="4">
        <v>0</v>
      </c>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c r="AM18" s="37" t="s">
        <v>872</v>
      </c>
    </row>
  </sheetData>
  <mergeCells count="3">
    <mergeCell ref="A1:N1"/>
    <mergeCell ref="O1:AF1"/>
    <mergeCell ref="AG1:AL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topLeftCell="J1" workbookViewId="0">
      <selection activeCell="A3" sqref="A3:A104"/>
    </sheetView>
  </sheetViews>
  <sheetFormatPr baseColWidth="10" defaultColWidth="9.109375" defaultRowHeight="14.4" x14ac:dyDescent="0.3"/>
  <cols>
    <col min="1" max="2" width="25.6640625" customWidth="1"/>
    <col min="3" max="3" width="36.33203125" customWidth="1"/>
    <col min="4" max="18" width="25.6640625" customWidth="1"/>
    <col min="19" max="19" width="28.6640625" customWidth="1"/>
  </cols>
  <sheetData>
    <row r="1" spans="1:19" ht="39.9" customHeight="1" x14ac:dyDescent="0.3">
      <c r="A1" s="44" t="s">
        <v>0</v>
      </c>
      <c r="B1" s="44"/>
      <c r="C1" s="44"/>
      <c r="D1" s="44"/>
      <c r="E1" s="44"/>
      <c r="F1" s="44"/>
      <c r="G1" s="44"/>
      <c r="H1" s="44"/>
      <c r="I1" s="44"/>
      <c r="J1" s="44"/>
      <c r="K1" s="44"/>
      <c r="L1" s="44"/>
      <c r="M1" s="44"/>
      <c r="N1" s="44"/>
      <c r="O1" s="44"/>
      <c r="P1" s="44"/>
      <c r="Q1" s="44"/>
      <c r="R1" s="44"/>
    </row>
    <row r="2" spans="1:19" ht="69.900000000000006" customHeight="1" x14ac:dyDescent="0.3">
      <c r="A2" s="1" t="s">
        <v>3</v>
      </c>
      <c r="B2" s="1" t="s">
        <v>354</v>
      </c>
      <c r="C2" s="1" t="s">
        <v>355</v>
      </c>
      <c r="D2" s="1" t="s">
        <v>356</v>
      </c>
      <c r="E2" s="1" t="s">
        <v>7</v>
      </c>
      <c r="F2" s="1" t="s">
        <v>357</v>
      </c>
      <c r="G2" s="1" t="s">
        <v>9</v>
      </c>
      <c r="H2" s="1" t="s">
        <v>10</v>
      </c>
      <c r="I2" s="1" t="s">
        <v>13</v>
      </c>
      <c r="J2" s="1" t="s">
        <v>15</v>
      </c>
      <c r="K2" s="1" t="s">
        <v>358</v>
      </c>
      <c r="L2" s="1" t="s">
        <v>27</v>
      </c>
      <c r="M2" s="1" t="s">
        <v>21</v>
      </c>
      <c r="N2" s="1" t="s">
        <v>22</v>
      </c>
      <c r="O2" s="1" t="s">
        <v>30</v>
      </c>
      <c r="P2" s="1" t="s">
        <v>359</v>
      </c>
      <c r="Q2" s="1" t="s">
        <v>24</v>
      </c>
      <c r="R2" s="1" t="s">
        <v>830</v>
      </c>
      <c r="S2" s="22" t="s">
        <v>871</v>
      </c>
    </row>
    <row r="3" spans="1:19" ht="69.900000000000006" customHeight="1" x14ac:dyDescent="0.3">
      <c r="A3" s="8">
        <v>2012000020042</v>
      </c>
      <c r="B3" s="3" t="s">
        <v>420</v>
      </c>
      <c r="C3" s="3" t="s">
        <v>421</v>
      </c>
      <c r="D3" s="3" t="s">
        <v>422</v>
      </c>
      <c r="E3" s="3" t="s">
        <v>86</v>
      </c>
      <c r="F3" s="3" t="s">
        <v>60</v>
      </c>
      <c r="G3" s="3" t="s">
        <v>57</v>
      </c>
      <c r="H3" s="3" t="s">
        <v>423</v>
      </c>
      <c r="I3" s="4">
        <v>22526692745</v>
      </c>
      <c r="J3" s="4">
        <v>0</v>
      </c>
      <c r="K3" s="4">
        <v>22526692745</v>
      </c>
      <c r="L3" s="13">
        <v>41201</v>
      </c>
      <c r="M3" s="13"/>
      <c r="N3" s="13">
        <v>41829</v>
      </c>
      <c r="O3" s="13">
        <v>42072</v>
      </c>
      <c r="P3" s="4">
        <v>100</v>
      </c>
      <c r="Q3" s="4">
        <v>99.82</v>
      </c>
      <c r="R3" s="3"/>
      <c r="S3" s="3"/>
    </row>
    <row r="4" spans="1:19" ht="69.900000000000006" customHeight="1" x14ac:dyDescent="0.3">
      <c r="A4" s="8">
        <v>2012002700005</v>
      </c>
      <c r="B4" s="3" t="s">
        <v>424</v>
      </c>
      <c r="C4" s="3" t="s">
        <v>425</v>
      </c>
      <c r="D4" s="3" t="s">
        <v>426</v>
      </c>
      <c r="E4" s="3" t="s">
        <v>86</v>
      </c>
      <c r="F4" s="3" t="s">
        <v>189</v>
      </c>
      <c r="G4" s="3" t="s">
        <v>57</v>
      </c>
      <c r="H4" s="15" t="s">
        <v>365</v>
      </c>
      <c r="I4" s="4">
        <v>924979909</v>
      </c>
      <c r="J4" s="4">
        <v>30000000</v>
      </c>
      <c r="K4" s="4">
        <v>954979909</v>
      </c>
      <c r="L4" s="13">
        <v>41191</v>
      </c>
      <c r="M4" s="13"/>
      <c r="N4" s="13">
        <v>41304</v>
      </c>
      <c r="O4" s="13">
        <v>41452</v>
      </c>
      <c r="P4" s="4">
        <v>100</v>
      </c>
      <c r="Q4" s="4">
        <v>0</v>
      </c>
      <c r="R4" s="3"/>
      <c r="S4" s="3"/>
    </row>
    <row r="5" spans="1:19" ht="69.900000000000006" customHeight="1" x14ac:dyDescent="0.3">
      <c r="A5" s="3" t="s">
        <v>427</v>
      </c>
      <c r="B5" s="3" t="s">
        <v>428</v>
      </c>
      <c r="C5" s="3" t="s">
        <v>429</v>
      </c>
      <c r="D5" s="3" t="s">
        <v>430</v>
      </c>
      <c r="E5" s="3" t="s">
        <v>86</v>
      </c>
      <c r="F5" s="3" t="s">
        <v>189</v>
      </c>
      <c r="G5" s="3" t="s">
        <v>57</v>
      </c>
      <c r="H5" s="3" t="s">
        <v>423</v>
      </c>
      <c r="I5" s="4">
        <v>999998309</v>
      </c>
      <c r="J5" s="4">
        <v>11000000</v>
      </c>
      <c r="K5" s="4">
        <v>1010998309</v>
      </c>
      <c r="L5" s="13">
        <v>41191</v>
      </c>
      <c r="M5" s="13"/>
      <c r="N5" s="13">
        <v>41276</v>
      </c>
      <c r="O5" s="13">
        <v>41355</v>
      </c>
      <c r="P5" s="4">
        <v>98.9</v>
      </c>
      <c r="Q5" s="4">
        <v>98.2</v>
      </c>
      <c r="R5" s="3"/>
      <c r="S5" s="3"/>
    </row>
    <row r="6" spans="1:19" ht="69.900000000000006" customHeight="1" x14ac:dyDescent="0.3">
      <c r="A6" s="3" t="s">
        <v>431</v>
      </c>
      <c r="B6" s="3" t="s">
        <v>432</v>
      </c>
      <c r="C6" s="3" t="s">
        <v>433</v>
      </c>
      <c r="D6" s="3" t="s">
        <v>434</v>
      </c>
      <c r="E6" s="3" t="s">
        <v>86</v>
      </c>
      <c r="F6" s="3" t="s">
        <v>60</v>
      </c>
      <c r="G6" s="3" t="s">
        <v>57</v>
      </c>
      <c r="H6" s="3" t="s">
        <v>423</v>
      </c>
      <c r="I6" s="4">
        <v>16567304387</v>
      </c>
      <c r="J6" s="4">
        <v>0</v>
      </c>
      <c r="K6" s="4">
        <v>16567304387</v>
      </c>
      <c r="L6" s="13">
        <v>41533</v>
      </c>
      <c r="M6" s="13"/>
      <c r="N6" s="13">
        <v>41537</v>
      </c>
      <c r="O6" s="13">
        <v>41669</v>
      </c>
      <c r="P6" s="4">
        <v>100</v>
      </c>
      <c r="Q6" s="4">
        <v>99.98</v>
      </c>
      <c r="R6" s="3"/>
      <c r="S6" s="3"/>
    </row>
    <row r="7" spans="1:19" ht="69.900000000000006" customHeight="1" x14ac:dyDescent="0.3">
      <c r="A7" s="3" t="s">
        <v>435</v>
      </c>
      <c r="B7" s="3" t="s">
        <v>428</v>
      </c>
      <c r="C7" s="3" t="s">
        <v>436</v>
      </c>
      <c r="D7" s="3" t="s">
        <v>437</v>
      </c>
      <c r="E7" s="3" t="s">
        <v>86</v>
      </c>
      <c r="F7" s="3" t="s">
        <v>438</v>
      </c>
      <c r="G7" s="3" t="s">
        <v>57</v>
      </c>
      <c r="H7" s="15" t="s">
        <v>365</v>
      </c>
      <c r="I7" s="4">
        <v>12429000000</v>
      </c>
      <c r="J7" s="4">
        <v>159110083</v>
      </c>
      <c r="K7" s="4">
        <v>12588110083</v>
      </c>
      <c r="L7" s="13">
        <v>41907</v>
      </c>
      <c r="M7" s="13"/>
      <c r="N7" s="13">
        <v>42821</v>
      </c>
      <c r="O7" s="13">
        <v>42226</v>
      </c>
      <c r="P7" s="4">
        <v>100</v>
      </c>
      <c r="Q7" s="4">
        <v>99.51</v>
      </c>
      <c r="R7" s="3"/>
      <c r="S7" s="3"/>
    </row>
    <row r="8" spans="1:19" ht="69.900000000000006" customHeight="1" x14ac:dyDescent="0.3">
      <c r="A8" s="3" t="s">
        <v>439</v>
      </c>
      <c r="B8" s="3" t="s">
        <v>440</v>
      </c>
      <c r="C8" s="3" t="s">
        <v>441</v>
      </c>
      <c r="D8" s="3" t="s">
        <v>442</v>
      </c>
      <c r="E8" s="3" t="s">
        <v>293</v>
      </c>
      <c r="F8" s="3" t="s">
        <v>60</v>
      </c>
      <c r="G8" s="3" t="s">
        <v>67</v>
      </c>
      <c r="H8" s="15" t="s">
        <v>379</v>
      </c>
      <c r="I8" s="4">
        <v>14996018261</v>
      </c>
      <c r="J8" s="4">
        <v>0</v>
      </c>
      <c r="K8" s="4">
        <v>14996018261</v>
      </c>
      <c r="L8" s="13">
        <v>41376</v>
      </c>
      <c r="M8" s="13"/>
      <c r="N8" s="13">
        <v>41380</v>
      </c>
      <c r="O8" s="13">
        <v>41676</v>
      </c>
      <c r="P8" s="4">
        <v>45.35</v>
      </c>
      <c r="Q8" s="4">
        <v>49.54</v>
      </c>
      <c r="R8" s="3"/>
      <c r="S8" s="3"/>
    </row>
    <row r="9" spans="1:19" ht="69.900000000000006" customHeight="1" x14ac:dyDescent="0.3">
      <c r="A9" s="3" t="s">
        <v>443</v>
      </c>
      <c r="B9" s="3" t="s">
        <v>444</v>
      </c>
      <c r="C9" s="3" t="s">
        <v>445</v>
      </c>
      <c r="D9" s="3" t="s">
        <v>446</v>
      </c>
      <c r="E9" s="3" t="s">
        <v>86</v>
      </c>
      <c r="F9" s="3" t="s">
        <v>447</v>
      </c>
      <c r="G9" s="3" t="s">
        <v>57</v>
      </c>
      <c r="H9" s="15" t="s">
        <v>374</v>
      </c>
      <c r="I9" s="4">
        <v>14913362760</v>
      </c>
      <c r="J9" s="4">
        <v>0</v>
      </c>
      <c r="K9" s="4">
        <v>14913362760</v>
      </c>
      <c r="L9" s="13">
        <v>41907</v>
      </c>
      <c r="M9" s="13"/>
      <c r="N9" s="13">
        <v>42990</v>
      </c>
      <c r="O9" s="13">
        <v>42023</v>
      </c>
      <c r="P9" s="4">
        <v>99.99</v>
      </c>
      <c r="Q9" s="4">
        <v>99.56</v>
      </c>
      <c r="R9" s="3"/>
      <c r="S9" s="3"/>
    </row>
    <row r="10" spans="1:19" ht="69.900000000000006" customHeight="1" x14ac:dyDescent="0.3">
      <c r="A10" s="3" t="s">
        <v>448</v>
      </c>
      <c r="B10" s="3" t="s">
        <v>449</v>
      </c>
      <c r="C10" s="3" t="s">
        <v>450</v>
      </c>
      <c r="D10" s="3" t="s">
        <v>451</v>
      </c>
      <c r="E10" s="3" t="s">
        <v>86</v>
      </c>
      <c r="F10" s="3" t="s">
        <v>452</v>
      </c>
      <c r="G10" s="3" t="s">
        <v>57</v>
      </c>
      <c r="H10" s="15" t="s">
        <v>365</v>
      </c>
      <c r="I10" s="4">
        <v>7037696704</v>
      </c>
      <c r="J10" s="4">
        <v>700920310</v>
      </c>
      <c r="K10" s="4">
        <v>7738617014</v>
      </c>
      <c r="L10" s="13">
        <v>41907</v>
      </c>
      <c r="M10" s="13"/>
      <c r="N10" s="13">
        <v>42006</v>
      </c>
      <c r="O10" s="13">
        <v>42060</v>
      </c>
      <c r="P10" s="4">
        <v>100</v>
      </c>
      <c r="Q10" s="4">
        <v>85.88</v>
      </c>
      <c r="R10" s="3"/>
      <c r="S10" s="3"/>
    </row>
    <row r="11" spans="1:19" ht="69.900000000000006" customHeight="1" x14ac:dyDescent="0.3">
      <c r="A11" s="3" t="s">
        <v>453</v>
      </c>
      <c r="B11" s="3" t="s">
        <v>454</v>
      </c>
      <c r="C11" s="3" t="s">
        <v>455</v>
      </c>
      <c r="D11" s="3" t="s">
        <v>456</v>
      </c>
      <c r="E11" s="3" t="s">
        <v>65</v>
      </c>
      <c r="F11" s="3" t="s">
        <v>95</v>
      </c>
      <c r="G11" s="3" t="s">
        <v>57</v>
      </c>
      <c r="H11" s="3" t="s">
        <v>365</v>
      </c>
      <c r="I11" s="4">
        <v>13800000000</v>
      </c>
      <c r="J11" s="4">
        <v>2151400000</v>
      </c>
      <c r="K11" s="4">
        <v>15951400000</v>
      </c>
      <c r="L11" s="13">
        <v>41789</v>
      </c>
      <c r="M11" s="13"/>
      <c r="N11" s="13">
        <v>44936</v>
      </c>
      <c r="O11" s="13">
        <v>42128</v>
      </c>
      <c r="P11" s="4">
        <v>95.56</v>
      </c>
      <c r="Q11" s="4">
        <v>89.9</v>
      </c>
      <c r="R11" s="3"/>
      <c r="S11" s="3"/>
    </row>
    <row r="12" spans="1:19" ht="69.900000000000006" customHeight="1" x14ac:dyDescent="0.3">
      <c r="A12" s="3" t="s">
        <v>457</v>
      </c>
      <c r="B12" s="3" t="s">
        <v>458</v>
      </c>
      <c r="C12" s="3" t="s">
        <v>459</v>
      </c>
      <c r="D12" s="3" t="s">
        <v>460</v>
      </c>
      <c r="E12" s="3" t="s">
        <v>86</v>
      </c>
      <c r="F12" s="3" t="s">
        <v>461</v>
      </c>
      <c r="G12" s="3" t="s">
        <v>57</v>
      </c>
      <c r="H12" s="15" t="s">
        <v>365</v>
      </c>
      <c r="I12" s="4">
        <v>16094650077</v>
      </c>
      <c r="J12" s="4">
        <v>312767700</v>
      </c>
      <c r="K12" s="4">
        <v>16407417777</v>
      </c>
      <c r="L12" s="13">
        <v>43389</v>
      </c>
      <c r="M12" s="13"/>
      <c r="N12" s="13">
        <v>43495</v>
      </c>
      <c r="O12" s="13">
        <v>43865</v>
      </c>
      <c r="P12" s="4">
        <v>99.69</v>
      </c>
      <c r="Q12" s="4">
        <v>97.78</v>
      </c>
      <c r="R12" s="3"/>
      <c r="S12" s="3"/>
    </row>
    <row r="13" spans="1:19" ht="69.900000000000006" customHeight="1" x14ac:dyDescent="0.3">
      <c r="A13" s="3" t="s">
        <v>462</v>
      </c>
      <c r="B13" s="3" t="s">
        <v>463</v>
      </c>
      <c r="C13" s="3" t="s">
        <v>464</v>
      </c>
      <c r="D13" s="3" t="s">
        <v>465</v>
      </c>
      <c r="E13" s="3" t="s">
        <v>86</v>
      </c>
      <c r="F13" s="3" t="s">
        <v>466</v>
      </c>
      <c r="G13" s="3" t="s">
        <v>57</v>
      </c>
      <c r="H13" s="3" t="s">
        <v>467</v>
      </c>
      <c r="I13" s="4">
        <v>54337268559</v>
      </c>
      <c r="J13" s="4">
        <v>8559008426</v>
      </c>
      <c r="K13" s="4">
        <v>62896276985</v>
      </c>
      <c r="L13" s="13">
        <v>43165</v>
      </c>
      <c r="M13" s="13"/>
      <c r="N13" s="13">
        <v>43171</v>
      </c>
      <c r="O13" s="13">
        <v>43410</v>
      </c>
      <c r="P13" s="4">
        <v>100</v>
      </c>
      <c r="Q13" s="4">
        <v>99.87</v>
      </c>
      <c r="R13" s="3"/>
      <c r="S13" s="3"/>
    </row>
    <row r="14" spans="1:19" ht="69.900000000000006" customHeight="1" x14ac:dyDescent="0.3">
      <c r="A14" s="3" t="s">
        <v>468</v>
      </c>
      <c r="B14" s="3" t="s">
        <v>469</v>
      </c>
      <c r="C14" s="3" t="s">
        <v>470</v>
      </c>
      <c r="D14" s="3" t="s">
        <v>471</v>
      </c>
      <c r="E14" s="3" t="s">
        <v>86</v>
      </c>
      <c r="F14" s="3" t="s">
        <v>472</v>
      </c>
      <c r="G14" s="3" t="s">
        <v>67</v>
      </c>
      <c r="H14" s="16" t="s">
        <v>365</v>
      </c>
      <c r="I14" s="4">
        <v>5261488233</v>
      </c>
      <c r="J14" s="4">
        <v>100000000</v>
      </c>
      <c r="K14" s="4">
        <v>5361488233</v>
      </c>
      <c r="L14" s="13">
        <v>43636</v>
      </c>
      <c r="M14" s="13"/>
      <c r="N14" s="13">
        <v>43955</v>
      </c>
      <c r="O14" s="13">
        <v>44138</v>
      </c>
      <c r="P14" s="4">
        <v>97.82</v>
      </c>
      <c r="Q14" s="4">
        <v>95.45</v>
      </c>
      <c r="R14" s="3"/>
      <c r="S14" s="3"/>
    </row>
    <row r="15" spans="1:19" ht="69.900000000000006" customHeight="1" x14ac:dyDescent="0.3">
      <c r="A15" s="3" t="s">
        <v>473</v>
      </c>
      <c r="B15" s="3" t="s">
        <v>474</v>
      </c>
      <c r="C15" s="3" t="s">
        <v>475</v>
      </c>
      <c r="D15" s="3" t="s">
        <v>476</v>
      </c>
      <c r="E15" s="3" t="s">
        <v>123</v>
      </c>
      <c r="F15" s="3" t="s">
        <v>60</v>
      </c>
      <c r="G15" s="3" t="s">
        <v>57</v>
      </c>
      <c r="H15" s="15" t="s">
        <v>365</v>
      </c>
      <c r="I15" s="4">
        <v>8077068482</v>
      </c>
      <c r="J15" s="4">
        <v>0</v>
      </c>
      <c r="K15" s="4">
        <v>8077068482</v>
      </c>
      <c r="L15" s="13">
        <v>43829</v>
      </c>
      <c r="M15" s="13"/>
      <c r="N15" s="13">
        <v>43843</v>
      </c>
      <c r="O15" s="13">
        <v>44042</v>
      </c>
      <c r="P15" s="4">
        <v>99.99</v>
      </c>
      <c r="Q15" s="4">
        <v>99.97</v>
      </c>
      <c r="R15" s="3"/>
      <c r="S15" s="3"/>
    </row>
    <row r="16" spans="1:19" ht="69.900000000000006" customHeight="1" x14ac:dyDescent="0.3">
      <c r="A16" s="3" t="s">
        <v>477</v>
      </c>
      <c r="B16" s="3" t="s">
        <v>478</v>
      </c>
      <c r="C16" s="3" t="s">
        <v>479</v>
      </c>
      <c r="D16" s="3" t="s">
        <v>480</v>
      </c>
      <c r="E16" s="3" t="s">
        <v>65</v>
      </c>
      <c r="F16" s="3" t="s">
        <v>95</v>
      </c>
      <c r="G16" s="3" t="s">
        <v>67</v>
      </c>
      <c r="H16" s="3" t="s">
        <v>374</v>
      </c>
      <c r="I16" s="4">
        <v>7750000000</v>
      </c>
      <c r="J16" s="4">
        <v>0</v>
      </c>
      <c r="K16" s="4">
        <v>7750000000</v>
      </c>
      <c r="L16" s="13">
        <v>43781</v>
      </c>
      <c r="M16" s="13"/>
      <c r="N16" s="13">
        <v>43809</v>
      </c>
      <c r="O16" s="13">
        <v>43831</v>
      </c>
      <c r="P16" s="4">
        <v>97.9</v>
      </c>
      <c r="Q16" s="4">
        <v>97.25</v>
      </c>
      <c r="R16" s="3"/>
      <c r="S16" s="3"/>
    </row>
    <row r="17" spans="1:19" ht="69.900000000000006" customHeight="1" x14ac:dyDescent="0.3">
      <c r="A17" s="3" t="s">
        <v>481</v>
      </c>
      <c r="B17" s="3" t="s">
        <v>482</v>
      </c>
      <c r="C17" s="3" t="s">
        <v>483</v>
      </c>
      <c r="D17" s="3" t="s">
        <v>484</v>
      </c>
      <c r="E17" s="3" t="s">
        <v>65</v>
      </c>
      <c r="F17" s="3" t="s">
        <v>95</v>
      </c>
      <c r="G17" s="3" t="s">
        <v>67</v>
      </c>
      <c r="H17" s="3" t="s">
        <v>411</v>
      </c>
      <c r="I17" s="4">
        <v>1027100000</v>
      </c>
      <c r="J17" s="4">
        <v>100575000</v>
      </c>
      <c r="K17" s="4">
        <v>1127675000</v>
      </c>
      <c r="L17" s="13">
        <v>43781</v>
      </c>
      <c r="M17" s="13"/>
      <c r="N17" s="13">
        <v>43948</v>
      </c>
      <c r="O17" s="13">
        <v>44223</v>
      </c>
      <c r="P17" s="4">
        <v>96.9</v>
      </c>
      <c r="Q17" s="4">
        <v>97.16</v>
      </c>
      <c r="R17" s="3"/>
      <c r="S17" s="3"/>
    </row>
    <row r="18" spans="1:19" ht="69.900000000000006" customHeight="1" x14ac:dyDescent="0.3">
      <c r="A18" s="3" t="s">
        <v>485</v>
      </c>
      <c r="B18" s="3" t="s">
        <v>486</v>
      </c>
      <c r="C18" s="3" t="s">
        <v>487</v>
      </c>
      <c r="D18" s="3" t="s">
        <v>488</v>
      </c>
      <c r="E18" s="3" t="s">
        <v>65</v>
      </c>
      <c r="F18" s="3" t="s">
        <v>95</v>
      </c>
      <c r="G18" s="3" t="s">
        <v>67</v>
      </c>
      <c r="H18" s="3" t="s">
        <v>374</v>
      </c>
      <c r="I18" s="4">
        <v>9491491960</v>
      </c>
      <c r="J18" s="4">
        <v>443750000</v>
      </c>
      <c r="K18" s="4">
        <v>9935241960</v>
      </c>
      <c r="L18" s="13">
        <v>43781</v>
      </c>
      <c r="M18" s="13"/>
      <c r="N18" s="13">
        <v>43872</v>
      </c>
      <c r="O18" s="13">
        <v>43979</v>
      </c>
      <c r="P18" s="4">
        <v>85.67</v>
      </c>
      <c r="Q18" s="4">
        <v>86.62</v>
      </c>
      <c r="R18" s="3"/>
      <c r="S18" s="3"/>
    </row>
    <row r="19" spans="1:19" ht="69.900000000000006" customHeight="1" x14ac:dyDescent="0.3">
      <c r="A19" s="3" t="s">
        <v>489</v>
      </c>
      <c r="B19" s="3" t="s">
        <v>490</v>
      </c>
      <c r="C19" s="3" t="s">
        <v>491</v>
      </c>
      <c r="D19" s="3" t="s">
        <v>492</v>
      </c>
      <c r="E19" s="3" t="s">
        <v>65</v>
      </c>
      <c r="F19" s="3" t="s">
        <v>95</v>
      </c>
      <c r="G19" s="3" t="s">
        <v>67</v>
      </c>
      <c r="H19" s="3" t="s">
        <v>374</v>
      </c>
      <c r="I19" s="4">
        <v>4024500000</v>
      </c>
      <c r="J19" s="4">
        <v>177500000</v>
      </c>
      <c r="K19" s="4">
        <v>4202000000</v>
      </c>
      <c r="L19" s="13">
        <v>43781</v>
      </c>
      <c r="M19" s="13"/>
      <c r="N19" s="13">
        <v>43812</v>
      </c>
      <c r="O19" s="13">
        <v>43958</v>
      </c>
      <c r="P19" s="4">
        <v>96.81</v>
      </c>
      <c r="Q19" s="4">
        <v>77.59</v>
      </c>
      <c r="R19" s="3"/>
      <c r="S19" s="3"/>
    </row>
    <row r="20" spans="1:19" ht="69.900000000000006" customHeight="1" x14ac:dyDescent="0.3">
      <c r="A20" s="3" t="s">
        <v>493</v>
      </c>
      <c r="B20" s="3" t="s">
        <v>494</v>
      </c>
      <c r="C20" s="3" t="s">
        <v>495</v>
      </c>
      <c r="D20" s="3" t="s">
        <v>496</v>
      </c>
      <c r="E20" s="3" t="s">
        <v>65</v>
      </c>
      <c r="F20" s="3" t="s">
        <v>69</v>
      </c>
      <c r="G20" s="3" t="s">
        <v>67</v>
      </c>
      <c r="H20" s="3" t="s">
        <v>374</v>
      </c>
      <c r="I20" s="4">
        <v>20233937500</v>
      </c>
      <c r="J20" s="4">
        <v>928127000</v>
      </c>
      <c r="K20" s="4">
        <v>21162064500</v>
      </c>
      <c r="L20" s="13">
        <v>43781</v>
      </c>
      <c r="M20" s="13"/>
      <c r="N20" s="13">
        <v>43902</v>
      </c>
      <c r="O20" s="13">
        <v>43943</v>
      </c>
      <c r="P20" s="4">
        <v>82.93</v>
      </c>
      <c r="Q20" s="4">
        <v>181.2</v>
      </c>
      <c r="R20" s="3"/>
      <c r="S20" s="3"/>
    </row>
    <row r="21" spans="1:19" ht="69.900000000000006" customHeight="1" x14ac:dyDescent="0.3">
      <c r="A21" s="3" t="s">
        <v>497</v>
      </c>
      <c r="B21" s="3" t="s">
        <v>498</v>
      </c>
      <c r="C21" s="3" t="s">
        <v>499</v>
      </c>
      <c r="D21" s="3" t="s">
        <v>500</v>
      </c>
      <c r="E21" s="3" t="s">
        <v>65</v>
      </c>
      <c r="F21" s="3" t="s">
        <v>69</v>
      </c>
      <c r="G21" s="3" t="s">
        <v>67</v>
      </c>
      <c r="H21" s="3" t="s">
        <v>374</v>
      </c>
      <c r="I21" s="4">
        <v>6524500000</v>
      </c>
      <c r="J21" s="4">
        <v>0</v>
      </c>
      <c r="K21" s="4">
        <v>6524500000</v>
      </c>
      <c r="L21" s="13">
        <v>43781</v>
      </c>
      <c r="M21" s="13"/>
      <c r="N21" s="13">
        <v>43969</v>
      </c>
      <c r="O21" s="13">
        <v>43949</v>
      </c>
      <c r="P21" s="4">
        <v>89.97</v>
      </c>
      <c r="Q21" s="4">
        <v>89.3</v>
      </c>
      <c r="R21" s="3"/>
      <c r="S21" s="3"/>
    </row>
    <row r="22" spans="1:19" ht="69.900000000000006" customHeight="1" x14ac:dyDescent="0.3">
      <c r="A22" s="3" t="s">
        <v>501</v>
      </c>
      <c r="B22" s="3" t="s">
        <v>502</v>
      </c>
      <c r="C22" s="3" t="s">
        <v>503</v>
      </c>
      <c r="D22" s="3" t="s">
        <v>504</v>
      </c>
      <c r="E22" s="3" t="s">
        <v>65</v>
      </c>
      <c r="F22" s="3" t="s">
        <v>95</v>
      </c>
      <c r="G22" s="3" t="s">
        <v>67</v>
      </c>
      <c r="H22" s="3" t="s">
        <v>374</v>
      </c>
      <c r="I22" s="4">
        <v>2500000000</v>
      </c>
      <c r="J22" s="4">
        <v>88750000</v>
      </c>
      <c r="K22" s="4">
        <v>2588750000</v>
      </c>
      <c r="L22" s="13">
        <v>43812</v>
      </c>
      <c r="M22" s="13"/>
      <c r="N22" s="13">
        <v>43902</v>
      </c>
      <c r="O22" s="13">
        <v>43938</v>
      </c>
      <c r="P22" s="4">
        <v>97.52</v>
      </c>
      <c r="Q22" s="4">
        <v>97.57</v>
      </c>
      <c r="R22" s="3"/>
      <c r="S22" s="3"/>
    </row>
    <row r="23" spans="1:19" ht="69.900000000000006" customHeight="1" x14ac:dyDescent="0.3">
      <c r="A23" s="3" t="s">
        <v>505</v>
      </c>
      <c r="B23" s="3" t="s">
        <v>506</v>
      </c>
      <c r="C23" s="3" t="s">
        <v>507</v>
      </c>
      <c r="D23" s="3" t="s">
        <v>508</v>
      </c>
      <c r="E23" s="3" t="s">
        <v>65</v>
      </c>
      <c r="F23" s="3" t="s">
        <v>95</v>
      </c>
      <c r="G23" s="3" t="s">
        <v>67</v>
      </c>
      <c r="H23" s="3" t="s">
        <v>374</v>
      </c>
      <c r="I23" s="4">
        <v>3500000000</v>
      </c>
      <c r="J23" s="4">
        <v>654449000</v>
      </c>
      <c r="K23" s="4">
        <v>4154449000</v>
      </c>
      <c r="L23" s="13">
        <v>43812</v>
      </c>
      <c r="M23" s="13"/>
      <c r="N23" s="13">
        <v>43864</v>
      </c>
      <c r="O23" s="13">
        <v>44742</v>
      </c>
      <c r="P23" s="4">
        <v>99</v>
      </c>
      <c r="Q23" s="4">
        <v>91.85</v>
      </c>
      <c r="R23" s="3"/>
      <c r="S23" s="3"/>
    </row>
    <row r="24" spans="1:19" ht="69.900000000000006" customHeight="1" x14ac:dyDescent="0.3">
      <c r="A24" s="3" t="s">
        <v>509</v>
      </c>
      <c r="B24" s="3" t="s">
        <v>510</v>
      </c>
      <c r="C24" s="3" t="s">
        <v>511</v>
      </c>
      <c r="D24" s="3" t="s">
        <v>512</v>
      </c>
      <c r="E24" s="3" t="s">
        <v>65</v>
      </c>
      <c r="F24" s="3" t="s">
        <v>95</v>
      </c>
      <c r="G24" s="3" t="s">
        <v>67</v>
      </c>
      <c r="H24" s="3" t="s">
        <v>374</v>
      </c>
      <c r="I24" s="4">
        <v>3250000000</v>
      </c>
      <c r="J24" s="4">
        <v>227139308</v>
      </c>
      <c r="K24" s="4">
        <v>3477139308</v>
      </c>
      <c r="L24" s="13">
        <v>43798</v>
      </c>
      <c r="M24" s="13"/>
      <c r="N24" s="13">
        <v>43882</v>
      </c>
      <c r="O24" s="13">
        <v>43957</v>
      </c>
      <c r="P24" s="4">
        <v>97.39</v>
      </c>
      <c r="Q24" s="4">
        <v>95.75</v>
      </c>
      <c r="R24" s="3"/>
      <c r="S24" s="3"/>
    </row>
    <row r="25" spans="1:19" ht="69.900000000000006" customHeight="1" x14ac:dyDescent="0.3">
      <c r="A25" s="3" t="s">
        <v>513</v>
      </c>
      <c r="B25" s="3" t="s">
        <v>514</v>
      </c>
      <c r="C25" s="3" t="s">
        <v>515</v>
      </c>
      <c r="D25" s="3" t="s">
        <v>516</v>
      </c>
      <c r="E25" s="3" t="s">
        <v>65</v>
      </c>
      <c r="F25" s="3" t="s">
        <v>95</v>
      </c>
      <c r="G25" s="3" t="s">
        <v>67</v>
      </c>
      <c r="H25" s="3" t="s">
        <v>374</v>
      </c>
      <c r="I25" s="4">
        <v>946000000</v>
      </c>
      <c r="J25" s="4">
        <v>44375000</v>
      </c>
      <c r="K25" s="4">
        <v>990375000</v>
      </c>
      <c r="L25" s="13">
        <v>43812</v>
      </c>
      <c r="M25" s="13"/>
      <c r="N25" s="13">
        <v>44043</v>
      </c>
      <c r="O25" s="13">
        <v>43991</v>
      </c>
      <c r="P25" s="4">
        <v>97.54</v>
      </c>
      <c r="Q25" s="4">
        <v>97.23</v>
      </c>
      <c r="R25" s="3"/>
      <c r="S25" s="3"/>
    </row>
    <row r="26" spans="1:19" ht="69.900000000000006" customHeight="1" x14ac:dyDescent="0.3">
      <c r="A26" s="3" t="s">
        <v>517</v>
      </c>
      <c r="B26" s="3" t="s">
        <v>518</v>
      </c>
      <c r="C26" s="3" t="s">
        <v>519</v>
      </c>
      <c r="D26" s="3" t="s">
        <v>520</v>
      </c>
      <c r="E26" s="3" t="s">
        <v>65</v>
      </c>
      <c r="F26" s="3" t="s">
        <v>95</v>
      </c>
      <c r="G26" s="3" t="s">
        <v>67</v>
      </c>
      <c r="H26" s="3" t="s">
        <v>374</v>
      </c>
      <c r="I26" s="4">
        <v>1943625000</v>
      </c>
      <c r="J26" s="4">
        <v>88750000</v>
      </c>
      <c r="K26" s="4">
        <v>2032375000</v>
      </c>
      <c r="L26" s="13">
        <v>43830</v>
      </c>
      <c r="M26" s="13"/>
      <c r="N26" s="13">
        <v>44025</v>
      </c>
      <c r="O26" s="13">
        <v>44046</v>
      </c>
      <c r="P26" s="4">
        <v>87.5</v>
      </c>
      <c r="Q26" s="4">
        <v>86.53</v>
      </c>
      <c r="R26" s="3"/>
      <c r="S26" s="3"/>
    </row>
    <row r="27" spans="1:19" ht="69.900000000000006" customHeight="1" x14ac:dyDescent="0.3">
      <c r="A27" s="3" t="s">
        <v>521</v>
      </c>
      <c r="B27" s="3" t="s">
        <v>522</v>
      </c>
      <c r="C27" s="3" t="s">
        <v>523</v>
      </c>
      <c r="D27" s="3" t="s">
        <v>524</v>
      </c>
      <c r="E27" s="3" t="s">
        <v>65</v>
      </c>
      <c r="F27" s="3" t="s">
        <v>95</v>
      </c>
      <c r="G27" s="3" t="s">
        <v>67</v>
      </c>
      <c r="H27" s="3" t="s">
        <v>374</v>
      </c>
      <c r="I27" s="4">
        <v>1999999962.27</v>
      </c>
      <c r="J27" s="4">
        <v>667064931.65999985</v>
      </c>
      <c r="K27" s="4">
        <v>2667064893.9299998</v>
      </c>
      <c r="L27" s="13">
        <v>44111</v>
      </c>
      <c r="M27" s="13"/>
      <c r="N27" s="13">
        <v>44319</v>
      </c>
      <c r="O27" s="13">
        <v>44448</v>
      </c>
      <c r="P27" s="4">
        <v>86.98</v>
      </c>
      <c r="Q27" s="4">
        <v>87.69</v>
      </c>
      <c r="R27" s="3"/>
      <c r="S27" s="3"/>
    </row>
    <row r="28" spans="1:19" ht="69.900000000000006" customHeight="1" x14ac:dyDescent="0.3">
      <c r="A28" s="3" t="s">
        <v>525</v>
      </c>
      <c r="B28" s="3" t="s">
        <v>526</v>
      </c>
      <c r="C28" s="3" t="s">
        <v>527</v>
      </c>
      <c r="D28" s="3" t="s">
        <v>528</v>
      </c>
      <c r="E28" s="3" t="s">
        <v>55</v>
      </c>
      <c r="F28" s="3" t="s">
        <v>529</v>
      </c>
      <c r="G28" s="3" t="s">
        <v>57</v>
      </c>
      <c r="H28" s="15" t="s">
        <v>365</v>
      </c>
      <c r="I28" s="4">
        <v>729826686</v>
      </c>
      <c r="J28" s="4">
        <v>465734861</v>
      </c>
      <c r="K28" s="4">
        <v>1195561547</v>
      </c>
      <c r="L28" s="13">
        <v>43825</v>
      </c>
      <c r="M28" s="13"/>
      <c r="N28" s="13">
        <v>43875</v>
      </c>
      <c r="O28" s="13">
        <v>44074</v>
      </c>
      <c r="P28" s="4">
        <v>100</v>
      </c>
      <c r="Q28" s="4">
        <v>99.24</v>
      </c>
      <c r="R28" s="3"/>
      <c r="S28" s="3"/>
    </row>
    <row r="29" spans="1:19" ht="69.900000000000006" customHeight="1" x14ac:dyDescent="0.3">
      <c r="A29" s="3" t="s">
        <v>530</v>
      </c>
      <c r="B29" s="3" t="s">
        <v>458</v>
      </c>
      <c r="C29" s="3" t="s">
        <v>531</v>
      </c>
      <c r="D29" s="3" t="s">
        <v>532</v>
      </c>
      <c r="E29" s="3" t="s">
        <v>221</v>
      </c>
      <c r="F29" s="3" t="s">
        <v>533</v>
      </c>
      <c r="G29" s="3" t="s">
        <v>57</v>
      </c>
      <c r="H29" s="15" t="s">
        <v>365</v>
      </c>
      <c r="I29" s="4">
        <v>37141732473</v>
      </c>
      <c r="J29" s="4">
        <v>0</v>
      </c>
      <c r="K29" s="4">
        <v>37141732473</v>
      </c>
      <c r="L29" s="13">
        <v>43812</v>
      </c>
      <c r="M29" s="13"/>
      <c r="N29" s="13">
        <v>43817</v>
      </c>
      <c r="O29" s="13">
        <v>44228</v>
      </c>
      <c r="P29" s="4">
        <v>99.87</v>
      </c>
      <c r="Q29" s="4">
        <v>97.75</v>
      </c>
      <c r="R29" s="3"/>
      <c r="S29" s="3"/>
    </row>
    <row r="30" spans="1:19" ht="69.900000000000006" customHeight="1" x14ac:dyDescent="0.3">
      <c r="A30" s="3" t="s">
        <v>534</v>
      </c>
      <c r="B30" s="3" t="s">
        <v>428</v>
      </c>
      <c r="C30" s="3" t="s">
        <v>535</v>
      </c>
      <c r="D30" s="3" t="s">
        <v>536</v>
      </c>
      <c r="E30" s="3" t="s">
        <v>86</v>
      </c>
      <c r="F30" s="3" t="s">
        <v>148</v>
      </c>
      <c r="G30" s="3" t="s">
        <v>67</v>
      </c>
      <c r="H30" s="16" t="s">
        <v>374</v>
      </c>
      <c r="I30" s="4">
        <v>22507978719</v>
      </c>
      <c r="J30" s="4">
        <v>0</v>
      </c>
      <c r="K30" s="4">
        <v>22507978719</v>
      </c>
      <c r="L30" s="13">
        <v>44536</v>
      </c>
      <c r="M30" s="13"/>
      <c r="N30" s="13">
        <v>44683</v>
      </c>
      <c r="O30" s="13">
        <v>44837</v>
      </c>
      <c r="P30" s="4">
        <v>97.89</v>
      </c>
      <c r="Q30" s="4">
        <v>93.98</v>
      </c>
      <c r="R30" s="3"/>
      <c r="S30" s="3"/>
    </row>
    <row r="31" spans="1:19" ht="69.900000000000006" customHeight="1" x14ac:dyDescent="0.3">
      <c r="A31" s="3" t="s">
        <v>537</v>
      </c>
      <c r="B31" s="3" t="s">
        <v>538</v>
      </c>
      <c r="C31" s="3" t="s">
        <v>539</v>
      </c>
      <c r="D31" s="3" t="s">
        <v>540</v>
      </c>
      <c r="E31" s="3" t="s">
        <v>86</v>
      </c>
      <c r="F31" s="3" t="s">
        <v>541</v>
      </c>
      <c r="G31" s="3" t="s">
        <v>181</v>
      </c>
      <c r="H31" s="3" t="s">
        <v>423</v>
      </c>
      <c r="I31" s="4">
        <v>38700180208.470001</v>
      </c>
      <c r="J31" s="4">
        <v>236000000</v>
      </c>
      <c r="K31" s="4">
        <v>38936180208.470001</v>
      </c>
      <c r="L31" s="13">
        <v>44195</v>
      </c>
      <c r="M31" s="13"/>
      <c r="N31" s="13">
        <v>44952</v>
      </c>
      <c r="O31" s="13">
        <v>44595</v>
      </c>
      <c r="P31" s="4">
        <v>100</v>
      </c>
      <c r="Q31" s="4">
        <v>100</v>
      </c>
      <c r="R31" s="3"/>
      <c r="S31" s="3"/>
    </row>
    <row r="32" spans="1:19" ht="69.900000000000006" customHeight="1" x14ac:dyDescent="0.3">
      <c r="A32" s="3" t="s">
        <v>542</v>
      </c>
      <c r="B32" s="3" t="s">
        <v>463</v>
      </c>
      <c r="C32" s="3" t="s">
        <v>543</v>
      </c>
      <c r="D32" s="3" t="s">
        <v>544</v>
      </c>
      <c r="E32" s="3" t="s">
        <v>86</v>
      </c>
      <c r="F32" s="3" t="s">
        <v>60</v>
      </c>
      <c r="G32" s="3" t="s">
        <v>57</v>
      </c>
      <c r="H32" s="15" t="s">
        <v>365</v>
      </c>
      <c r="I32" s="4">
        <v>75409582200</v>
      </c>
      <c r="J32" s="4">
        <v>0</v>
      </c>
      <c r="K32" s="4">
        <v>75409582200</v>
      </c>
      <c r="L32" s="13">
        <v>44195</v>
      </c>
      <c r="M32" s="13"/>
      <c r="N32" s="13">
        <v>44326</v>
      </c>
      <c r="O32" s="13">
        <v>44445</v>
      </c>
      <c r="P32" s="4">
        <v>99.33</v>
      </c>
      <c r="Q32" s="4">
        <v>99.73</v>
      </c>
      <c r="R32" s="3"/>
      <c r="S32" s="3"/>
    </row>
    <row r="33" spans="1:19" ht="69.900000000000006" customHeight="1" x14ac:dyDescent="0.3">
      <c r="A33" s="3" t="s">
        <v>545</v>
      </c>
      <c r="B33" s="3" t="s">
        <v>490</v>
      </c>
      <c r="C33" s="3" t="s">
        <v>546</v>
      </c>
      <c r="D33" s="3" t="s">
        <v>547</v>
      </c>
      <c r="E33" s="3" t="s">
        <v>65</v>
      </c>
      <c r="F33" s="3" t="s">
        <v>95</v>
      </c>
      <c r="G33" s="3" t="s">
        <v>57</v>
      </c>
      <c r="H33" s="3" t="s">
        <v>423</v>
      </c>
      <c r="I33" s="4">
        <v>1998000000</v>
      </c>
      <c r="J33" s="4">
        <v>416100000</v>
      </c>
      <c r="K33" s="4">
        <v>2414100000</v>
      </c>
      <c r="L33" s="13">
        <v>43950</v>
      </c>
      <c r="M33" s="13"/>
      <c r="N33" s="13">
        <v>44001</v>
      </c>
      <c r="O33" s="13">
        <v>44133</v>
      </c>
      <c r="P33" s="4">
        <v>100</v>
      </c>
      <c r="Q33" s="4">
        <v>100</v>
      </c>
      <c r="R33" s="3"/>
      <c r="S33" s="3"/>
    </row>
    <row r="34" spans="1:19" ht="69.900000000000006" customHeight="1" x14ac:dyDescent="0.3">
      <c r="A34" s="3" t="s">
        <v>548</v>
      </c>
      <c r="B34" s="3" t="s">
        <v>490</v>
      </c>
      <c r="C34" s="3" t="s">
        <v>549</v>
      </c>
      <c r="D34" s="3" t="s">
        <v>550</v>
      </c>
      <c r="E34" s="3" t="s">
        <v>65</v>
      </c>
      <c r="F34" s="3" t="s">
        <v>95</v>
      </c>
      <c r="G34" s="3" t="s">
        <v>57</v>
      </c>
      <c r="H34" s="3" t="s">
        <v>374</v>
      </c>
      <c r="I34" s="4">
        <v>1999306318</v>
      </c>
      <c r="J34" s="4">
        <v>1491009306.72</v>
      </c>
      <c r="K34" s="4">
        <v>3490315624.7199998</v>
      </c>
      <c r="L34" s="13">
        <v>43924</v>
      </c>
      <c r="M34" s="13"/>
      <c r="N34" s="13">
        <v>44001</v>
      </c>
      <c r="O34" s="13">
        <v>44118</v>
      </c>
      <c r="P34" s="4">
        <v>100</v>
      </c>
      <c r="Q34" s="4">
        <v>100</v>
      </c>
      <c r="R34" s="3"/>
      <c r="S34" s="3"/>
    </row>
    <row r="35" spans="1:19" ht="69.900000000000006" customHeight="1" x14ac:dyDescent="0.3">
      <c r="A35" s="3" t="s">
        <v>551</v>
      </c>
      <c r="B35" s="3" t="s">
        <v>552</v>
      </c>
      <c r="C35" s="3" t="s">
        <v>553</v>
      </c>
      <c r="D35" s="3" t="s">
        <v>554</v>
      </c>
      <c r="E35" s="3" t="s">
        <v>65</v>
      </c>
      <c r="F35" s="3" t="s">
        <v>95</v>
      </c>
      <c r="G35" s="3" t="s">
        <v>181</v>
      </c>
      <c r="H35" s="3" t="s">
        <v>423</v>
      </c>
      <c r="I35" s="4">
        <v>1999910691</v>
      </c>
      <c r="J35" s="4">
        <v>1839271262</v>
      </c>
      <c r="K35" s="4">
        <v>3839181953</v>
      </c>
      <c r="L35" s="13">
        <v>44078</v>
      </c>
      <c r="M35" s="13"/>
      <c r="N35" s="13">
        <v>45385</v>
      </c>
      <c r="O35" s="13">
        <v>44252</v>
      </c>
      <c r="P35" s="4">
        <v>99.9</v>
      </c>
      <c r="Q35" s="4">
        <v>100</v>
      </c>
      <c r="R35" s="3"/>
      <c r="S35" s="3"/>
    </row>
    <row r="36" spans="1:19" ht="69.900000000000006" customHeight="1" x14ac:dyDescent="0.3">
      <c r="A36" s="3" t="s">
        <v>555</v>
      </c>
      <c r="B36" s="3" t="s">
        <v>556</v>
      </c>
      <c r="C36" s="3" t="s">
        <v>557</v>
      </c>
      <c r="D36" s="3" t="s">
        <v>558</v>
      </c>
      <c r="E36" s="3" t="s">
        <v>65</v>
      </c>
      <c r="F36" s="3" t="s">
        <v>95</v>
      </c>
      <c r="G36" s="3" t="s">
        <v>67</v>
      </c>
      <c r="H36" s="3" t="s">
        <v>365</v>
      </c>
      <c r="I36" s="4">
        <v>1999433630</v>
      </c>
      <c r="J36" s="4">
        <v>931051170</v>
      </c>
      <c r="K36" s="4">
        <v>2930484800</v>
      </c>
      <c r="L36" s="13">
        <v>43924</v>
      </c>
      <c r="M36" s="13"/>
      <c r="N36" s="13">
        <v>44106</v>
      </c>
      <c r="O36" s="13">
        <v>44106</v>
      </c>
      <c r="P36" s="4">
        <v>100</v>
      </c>
      <c r="Q36" s="4">
        <v>99.14</v>
      </c>
      <c r="R36" s="3"/>
      <c r="S36" s="3"/>
    </row>
    <row r="37" spans="1:19" ht="69.900000000000006" customHeight="1" x14ac:dyDescent="0.3">
      <c r="A37" s="3" t="s">
        <v>559</v>
      </c>
      <c r="B37" s="3" t="s">
        <v>560</v>
      </c>
      <c r="C37" s="3" t="s">
        <v>561</v>
      </c>
      <c r="D37" s="3" t="s">
        <v>562</v>
      </c>
      <c r="E37" s="3" t="s">
        <v>65</v>
      </c>
      <c r="F37" s="3" t="s">
        <v>95</v>
      </c>
      <c r="G37" s="3" t="s">
        <v>67</v>
      </c>
      <c r="H37" s="3" t="s">
        <v>423</v>
      </c>
      <c r="I37" s="4">
        <v>1999976897</v>
      </c>
      <c r="J37" s="4">
        <v>612770516</v>
      </c>
      <c r="K37" s="4">
        <v>2612747413</v>
      </c>
      <c r="L37" s="13">
        <v>44078</v>
      </c>
      <c r="M37" s="13"/>
      <c r="N37" s="13">
        <v>44179</v>
      </c>
      <c r="O37" s="13">
        <v>44229</v>
      </c>
      <c r="P37" s="4">
        <v>65.69</v>
      </c>
      <c r="Q37" s="4">
        <v>76.930000000000007</v>
      </c>
      <c r="R37" s="3"/>
      <c r="S37" s="3"/>
    </row>
    <row r="38" spans="1:19" ht="69.900000000000006" customHeight="1" x14ac:dyDescent="0.3">
      <c r="A38" s="3" t="s">
        <v>563</v>
      </c>
      <c r="B38" s="3" t="s">
        <v>564</v>
      </c>
      <c r="C38" s="3" t="s">
        <v>565</v>
      </c>
      <c r="D38" s="3" t="s">
        <v>566</v>
      </c>
      <c r="E38" s="3" t="s">
        <v>65</v>
      </c>
      <c r="F38" s="3" t="s">
        <v>95</v>
      </c>
      <c r="G38" s="3" t="s">
        <v>57</v>
      </c>
      <c r="H38" s="3" t="s">
        <v>374</v>
      </c>
      <c r="I38" s="4">
        <v>1272365336</v>
      </c>
      <c r="J38" s="4">
        <v>643306000</v>
      </c>
      <c r="K38" s="4">
        <v>1915671336</v>
      </c>
      <c r="L38" s="13">
        <v>44078</v>
      </c>
      <c r="M38" s="13"/>
      <c r="N38" s="24"/>
      <c r="O38" s="13">
        <v>44421</v>
      </c>
      <c r="P38" s="4">
        <v>97.49</v>
      </c>
      <c r="Q38" s="4">
        <v>101.36</v>
      </c>
      <c r="R38" s="3"/>
      <c r="S38" s="3"/>
    </row>
    <row r="39" spans="1:19" ht="69.900000000000006" customHeight="1" x14ac:dyDescent="0.3">
      <c r="A39" s="3" t="s">
        <v>567</v>
      </c>
      <c r="B39" s="3" t="s">
        <v>568</v>
      </c>
      <c r="C39" s="3" t="s">
        <v>569</v>
      </c>
      <c r="D39" s="3" t="s">
        <v>570</v>
      </c>
      <c r="E39" s="3" t="s">
        <v>65</v>
      </c>
      <c r="F39" s="3" t="s">
        <v>95</v>
      </c>
      <c r="G39" s="3" t="s">
        <v>67</v>
      </c>
      <c r="H39" s="3" t="s">
        <v>423</v>
      </c>
      <c r="I39" s="4">
        <v>1999833255</v>
      </c>
      <c r="J39" s="4">
        <v>948213920</v>
      </c>
      <c r="K39" s="4">
        <v>2948047175</v>
      </c>
      <c r="L39" s="13">
        <v>44078</v>
      </c>
      <c r="M39" s="13"/>
      <c r="N39" s="13">
        <v>44113</v>
      </c>
      <c r="O39" s="13">
        <v>44408</v>
      </c>
      <c r="P39" s="4">
        <v>99.95</v>
      </c>
      <c r="Q39" s="4">
        <v>99.96</v>
      </c>
      <c r="R39" s="3"/>
      <c r="S39" s="3"/>
    </row>
    <row r="40" spans="1:19" ht="69.900000000000006" customHeight="1" x14ac:dyDescent="0.3">
      <c r="A40" s="3" t="s">
        <v>571</v>
      </c>
      <c r="B40" s="3" t="s">
        <v>572</v>
      </c>
      <c r="C40" s="3" t="s">
        <v>573</v>
      </c>
      <c r="D40" s="3" t="s">
        <v>574</v>
      </c>
      <c r="E40" s="3" t="s">
        <v>65</v>
      </c>
      <c r="F40" s="3" t="s">
        <v>95</v>
      </c>
      <c r="G40" s="3" t="s">
        <v>57</v>
      </c>
      <c r="H40" s="3" t="s">
        <v>423</v>
      </c>
      <c r="I40" s="4">
        <v>6559568533</v>
      </c>
      <c r="J40" s="4">
        <v>288576987</v>
      </c>
      <c r="K40" s="4">
        <v>6848145520</v>
      </c>
      <c r="L40" s="13">
        <v>44159</v>
      </c>
      <c r="M40" s="13"/>
      <c r="N40" s="13">
        <v>44337</v>
      </c>
      <c r="O40" s="13">
        <v>44410</v>
      </c>
      <c r="P40" s="4">
        <v>100</v>
      </c>
      <c r="Q40" s="4">
        <v>98.42</v>
      </c>
      <c r="R40" s="3"/>
      <c r="S40" s="3"/>
    </row>
    <row r="41" spans="1:19" ht="69.900000000000006" customHeight="1" x14ac:dyDescent="0.3">
      <c r="A41" s="3" t="s">
        <v>575</v>
      </c>
      <c r="B41" s="3" t="s">
        <v>552</v>
      </c>
      <c r="C41" s="3" t="s">
        <v>576</v>
      </c>
      <c r="D41" s="3" t="s">
        <v>577</v>
      </c>
      <c r="E41" s="3" t="s">
        <v>65</v>
      </c>
      <c r="F41" s="3" t="s">
        <v>95</v>
      </c>
      <c r="G41" s="3" t="s">
        <v>67</v>
      </c>
      <c r="H41" s="3" t="s">
        <v>411</v>
      </c>
      <c r="I41" s="4">
        <v>1998890586.73</v>
      </c>
      <c r="J41" s="4">
        <v>899995425.88000011</v>
      </c>
      <c r="K41" s="4">
        <v>2898886012.6100001</v>
      </c>
      <c r="L41" s="13">
        <v>44078</v>
      </c>
      <c r="M41" s="13"/>
      <c r="N41" s="13">
        <v>44386</v>
      </c>
      <c r="O41" s="13">
        <v>44335</v>
      </c>
      <c r="P41" s="4">
        <v>98.23</v>
      </c>
      <c r="Q41" s="4">
        <v>98.28</v>
      </c>
      <c r="R41" s="3"/>
      <c r="S41" s="3"/>
    </row>
    <row r="42" spans="1:19" ht="69.900000000000006" customHeight="1" x14ac:dyDescent="0.3">
      <c r="A42" s="3" t="s">
        <v>578</v>
      </c>
      <c r="B42" s="3" t="s">
        <v>560</v>
      </c>
      <c r="C42" s="3" t="s">
        <v>579</v>
      </c>
      <c r="D42" s="3" t="s">
        <v>580</v>
      </c>
      <c r="E42" s="3" t="s">
        <v>65</v>
      </c>
      <c r="F42" s="3" t="s">
        <v>95</v>
      </c>
      <c r="G42" s="3" t="s">
        <v>181</v>
      </c>
      <c r="H42" s="3" t="s">
        <v>423</v>
      </c>
      <c r="I42" s="4">
        <v>5347795060</v>
      </c>
      <c r="J42" s="4">
        <v>1233838703</v>
      </c>
      <c r="K42" s="4">
        <v>6581633763</v>
      </c>
      <c r="L42" s="13">
        <v>43966</v>
      </c>
      <c r="M42" s="13"/>
      <c r="N42" s="13">
        <v>43978</v>
      </c>
      <c r="O42" s="13">
        <v>44097</v>
      </c>
      <c r="P42" s="4">
        <v>99.17</v>
      </c>
      <c r="Q42" s="4">
        <v>99.17</v>
      </c>
      <c r="R42" s="3"/>
      <c r="S42" s="3"/>
    </row>
    <row r="43" spans="1:19" ht="69.900000000000006" customHeight="1" x14ac:dyDescent="0.3">
      <c r="A43" s="14" t="s">
        <v>581</v>
      </c>
      <c r="B43" s="3" t="s">
        <v>522</v>
      </c>
      <c r="C43" s="3" t="s">
        <v>582</v>
      </c>
      <c r="D43" s="3" t="s">
        <v>583</v>
      </c>
      <c r="E43" s="3" t="s">
        <v>65</v>
      </c>
      <c r="F43" s="3" t="s">
        <v>95</v>
      </c>
      <c r="G43" s="3" t="s">
        <v>67</v>
      </c>
      <c r="H43" s="3" t="s">
        <v>423</v>
      </c>
      <c r="I43" s="4">
        <v>1965295196.9400001</v>
      </c>
      <c r="J43" s="4">
        <v>2166508826.73</v>
      </c>
      <c r="K43" s="4">
        <v>4131804023.6700001</v>
      </c>
      <c r="L43" s="13">
        <v>44078</v>
      </c>
      <c r="M43" s="13"/>
      <c r="N43" s="13"/>
      <c r="O43" s="13">
        <v>44421</v>
      </c>
      <c r="P43" s="4">
        <v>96.47</v>
      </c>
      <c r="Q43" s="4">
        <v>102.12</v>
      </c>
      <c r="R43" s="3"/>
      <c r="S43" s="3"/>
    </row>
    <row r="44" spans="1:19" ht="69.900000000000006" customHeight="1" x14ac:dyDescent="0.3">
      <c r="A44" s="3" t="s">
        <v>584</v>
      </c>
      <c r="B44" s="3" t="s">
        <v>560</v>
      </c>
      <c r="C44" s="3" t="s">
        <v>585</v>
      </c>
      <c r="D44" s="3" t="s">
        <v>586</v>
      </c>
      <c r="E44" s="3" t="s">
        <v>65</v>
      </c>
      <c r="F44" s="3" t="s">
        <v>95</v>
      </c>
      <c r="G44" s="3" t="s">
        <v>67</v>
      </c>
      <c r="H44" s="3" t="s">
        <v>374</v>
      </c>
      <c r="I44" s="4">
        <v>8764697664</v>
      </c>
      <c r="J44" s="4">
        <v>1543666900</v>
      </c>
      <c r="K44" s="4">
        <v>10308364564</v>
      </c>
      <c r="L44" s="13">
        <v>44432</v>
      </c>
      <c r="M44" s="13"/>
      <c r="N44" s="13">
        <v>44480</v>
      </c>
      <c r="O44" s="13">
        <v>44502</v>
      </c>
      <c r="P44" s="4">
        <v>89.91</v>
      </c>
      <c r="Q44" s="4">
        <v>90.22</v>
      </c>
      <c r="R44" s="3"/>
      <c r="S44" s="3"/>
    </row>
    <row r="45" spans="1:19" ht="69.900000000000006" customHeight="1" x14ac:dyDescent="0.3">
      <c r="A45" s="3" t="s">
        <v>587</v>
      </c>
      <c r="B45" s="3" t="s">
        <v>588</v>
      </c>
      <c r="C45" s="3" t="s">
        <v>589</v>
      </c>
      <c r="D45" s="3" t="s">
        <v>590</v>
      </c>
      <c r="E45" s="3" t="s">
        <v>65</v>
      </c>
      <c r="F45" s="3" t="s">
        <v>95</v>
      </c>
      <c r="G45" s="3" t="s">
        <v>57</v>
      </c>
      <c r="H45" s="3" t="s">
        <v>423</v>
      </c>
      <c r="I45" s="4">
        <v>1349000868</v>
      </c>
      <c r="J45" s="4">
        <v>60240000</v>
      </c>
      <c r="K45" s="4">
        <v>1409240868</v>
      </c>
      <c r="L45" s="13">
        <v>44111</v>
      </c>
      <c r="M45" s="13"/>
      <c r="N45" s="13">
        <v>44568</v>
      </c>
      <c r="O45" s="13">
        <v>44594</v>
      </c>
      <c r="P45" s="4">
        <v>100</v>
      </c>
      <c r="Q45" s="4">
        <v>90.65</v>
      </c>
      <c r="R45" s="3"/>
      <c r="S45" s="3"/>
    </row>
    <row r="46" spans="1:19" ht="69.900000000000006" customHeight="1" x14ac:dyDescent="0.3">
      <c r="A46" s="3" t="s">
        <v>591</v>
      </c>
      <c r="B46" s="3" t="s">
        <v>592</v>
      </c>
      <c r="C46" s="3" t="s">
        <v>593</v>
      </c>
      <c r="D46" s="3" t="s">
        <v>594</v>
      </c>
      <c r="E46" s="3" t="s">
        <v>65</v>
      </c>
      <c r="F46" s="3" t="s">
        <v>95</v>
      </c>
      <c r="G46" s="3" t="s">
        <v>57</v>
      </c>
      <c r="H46" s="3" t="s">
        <v>423</v>
      </c>
      <c r="I46" s="4">
        <v>3106000000</v>
      </c>
      <c r="J46" s="4">
        <v>50000000</v>
      </c>
      <c r="K46" s="4">
        <v>3156000000</v>
      </c>
      <c r="L46" s="13">
        <v>44159</v>
      </c>
      <c r="M46" s="13"/>
      <c r="N46" s="13">
        <v>44235</v>
      </c>
      <c r="O46" s="13">
        <v>44327</v>
      </c>
      <c r="P46" s="4">
        <v>100</v>
      </c>
      <c r="Q46" s="4">
        <v>93.32</v>
      </c>
      <c r="R46" s="3"/>
      <c r="S46" s="3"/>
    </row>
    <row r="47" spans="1:19" ht="69.900000000000006" customHeight="1" x14ac:dyDescent="0.3">
      <c r="A47" s="3" t="s">
        <v>595</v>
      </c>
      <c r="B47" s="3" t="s">
        <v>506</v>
      </c>
      <c r="C47" s="3" t="s">
        <v>596</v>
      </c>
      <c r="D47" s="3" t="s">
        <v>597</v>
      </c>
      <c r="E47" s="3" t="s">
        <v>65</v>
      </c>
      <c r="F47" s="3" t="s">
        <v>95</v>
      </c>
      <c r="G47" s="3" t="s">
        <v>57</v>
      </c>
      <c r="H47" s="3" t="s">
        <v>411</v>
      </c>
      <c r="I47" s="4">
        <v>8995267958.5699997</v>
      </c>
      <c r="J47" s="4">
        <v>182146495.4899998</v>
      </c>
      <c r="K47" s="4">
        <v>9177414454.0599995</v>
      </c>
      <c r="L47" s="13">
        <v>44159</v>
      </c>
      <c r="M47" s="13"/>
      <c r="N47" s="13">
        <v>44263</v>
      </c>
      <c r="O47" s="13">
        <v>44365</v>
      </c>
      <c r="P47" s="4">
        <v>100</v>
      </c>
      <c r="Q47" s="4">
        <v>100</v>
      </c>
      <c r="R47" s="3"/>
      <c r="S47" s="3"/>
    </row>
    <row r="48" spans="1:19" ht="69.900000000000006" customHeight="1" x14ac:dyDescent="0.3">
      <c r="A48" s="3" t="s">
        <v>598</v>
      </c>
      <c r="B48" s="3" t="s">
        <v>599</v>
      </c>
      <c r="C48" s="3" t="s">
        <v>600</v>
      </c>
      <c r="D48" s="3" t="s">
        <v>601</v>
      </c>
      <c r="E48" s="3" t="s">
        <v>65</v>
      </c>
      <c r="F48" s="3" t="s">
        <v>95</v>
      </c>
      <c r="G48" s="3" t="s">
        <v>67</v>
      </c>
      <c r="H48" s="3" t="s">
        <v>374</v>
      </c>
      <c r="I48" s="4">
        <v>6750000000</v>
      </c>
      <c r="J48" s="4">
        <v>170233499</v>
      </c>
      <c r="K48" s="4">
        <v>6920233499</v>
      </c>
      <c r="L48" s="13">
        <v>44330</v>
      </c>
      <c r="M48" s="13"/>
      <c r="N48" s="13">
        <v>44362</v>
      </c>
      <c r="O48" s="13">
        <v>44404</v>
      </c>
      <c r="P48" s="4">
        <v>83</v>
      </c>
      <c r="Q48" s="4">
        <v>86.25</v>
      </c>
      <c r="R48" s="3"/>
      <c r="S48" s="3"/>
    </row>
    <row r="49" spans="1:19" ht="69.900000000000006" customHeight="1" x14ac:dyDescent="0.3">
      <c r="A49" s="3" t="s">
        <v>602</v>
      </c>
      <c r="B49" s="3" t="s">
        <v>568</v>
      </c>
      <c r="C49" s="3" t="s">
        <v>603</v>
      </c>
      <c r="D49" s="3" t="s">
        <v>604</v>
      </c>
      <c r="E49" s="3" t="s">
        <v>65</v>
      </c>
      <c r="F49" s="3" t="s">
        <v>95</v>
      </c>
      <c r="G49" s="3" t="s">
        <v>67</v>
      </c>
      <c r="H49" s="3" t="s">
        <v>423</v>
      </c>
      <c r="I49" s="4">
        <v>1998157618.8800001</v>
      </c>
      <c r="J49" s="4">
        <v>469735103.82999992</v>
      </c>
      <c r="K49" s="4">
        <v>2467892722.71</v>
      </c>
      <c r="L49" s="13">
        <v>44159</v>
      </c>
      <c r="M49" s="13"/>
      <c r="N49" s="13">
        <v>44259</v>
      </c>
      <c r="O49" s="13">
        <v>44567</v>
      </c>
      <c r="P49" s="4">
        <v>98.06</v>
      </c>
      <c r="Q49" s="4">
        <v>98.13</v>
      </c>
      <c r="R49" s="3"/>
      <c r="S49" s="3"/>
    </row>
    <row r="50" spans="1:19" ht="69.900000000000006" customHeight="1" x14ac:dyDescent="0.3">
      <c r="A50" s="3" t="s">
        <v>605</v>
      </c>
      <c r="B50" s="3" t="s">
        <v>490</v>
      </c>
      <c r="C50" s="3" t="s">
        <v>606</v>
      </c>
      <c r="D50" s="3" t="s">
        <v>607</v>
      </c>
      <c r="E50" s="3" t="s">
        <v>65</v>
      </c>
      <c r="F50" s="3" t="s">
        <v>95</v>
      </c>
      <c r="G50" s="3" t="s">
        <v>67</v>
      </c>
      <c r="H50" s="3" t="s">
        <v>374</v>
      </c>
      <c r="I50" s="4">
        <v>2000000000</v>
      </c>
      <c r="J50" s="4">
        <v>474185221</v>
      </c>
      <c r="K50" s="4">
        <v>2474185221</v>
      </c>
      <c r="L50" s="13">
        <v>44159</v>
      </c>
      <c r="M50" s="13"/>
      <c r="N50" s="13">
        <v>44246</v>
      </c>
      <c r="O50" s="13">
        <v>44337</v>
      </c>
      <c r="P50" s="4">
        <v>100.2</v>
      </c>
      <c r="Q50" s="4">
        <v>100</v>
      </c>
      <c r="R50" s="3"/>
      <c r="S50" s="3"/>
    </row>
    <row r="51" spans="1:19" ht="69.900000000000006" customHeight="1" x14ac:dyDescent="0.3">
      <c r="A51" s="3" t="s">
        <v>608</v>
      </c>
      <c r="B51" s="3" t="s">
        <v>609</v>
      </c>
      <c r="C51" s="3" t="s">
        <v>610</v>
      </c>
      <c r="D51" s="3" t="s">
        <v>611</v>
      </c>
      <c r="E51" s="3" t="s">
        <v>65</v>
      </c>
      <c r="F51" s="3" t="s">
        <v>95</v>
      </c>
      <c r="G51" s="3" t="s">
        <v>67</v>
      </c>
      <c r="H51" s="3" t="s">
        <v>374</v>
      </c>
      <c r="I51" s="4">
        <v>5335769261</v>
      </c>
      <c r="J51" s="4">
        <v>577300853</v>
      </c>
      <c r="K51" s="4">
        <v>5913070114</v>
      </c>
      <c r="L51" s="13">
        <v>44348</v>
      </c>
      <c r="M51" s="13"/>
      <c r="N51" s="24"/>
      <c r="O51" s="13">
        <v>44427</v>
      </c>
      <c r="P51" s="4">
        <v>65.84</v>
      </c>
      <c r="Q51" s="4">
        <v>65.83</v>
      </c>
      <c r="R51" s="3"/>
      <c r="S51" s="3"/>
    </row>
    <row r="52" spans="1:19" ht="69.900000000000006" customHeight="1" x14ac:dyDescent="0.3">
      <c r="A52" s="3" t="s">
        <v>612</v>
      </c>
      <c r="B52" s="3" t="s">
        <v>568</v>
      </c>
      <c r="C52" s="3" t="s">
        <v>613</v>
      </c>
      <c r="D52" s="3" t="s">
        <v>614</v>
      </c>
      <c r="E52" s="3" t="s">
        <v>65</v>
      </c>
      <c r="F52" s="3" t="s">
        <v>95</v>
      </c>
      <c r="G52" s="3" t="s">
        <v>67</v>
      </c>
      <c r="H52" s="3" t="s">
        <v>423</v>
      </c>
      <c r="I52" s="4">
        <v>4940449374</v>
      </c>
      <c r="J52" s="4">
        <v>263481086</v>
      </c>
      <c r="K52" s="4">
        <v>5203930460</v>
      </c>
      <c r="L52" s="13">
        <v>44432</v>
      </c>
      <c r="M52" s="13"/>
      <c r="N52" s="13">
        <v>44480</v>
      </c>
      <c r="O52" s="13">
        <v>44517</v>
      </c>
      <c r="P52" s="4">
        <v>99.7</v>
      </c>
      <c r="Q52" s="4">
        <v>99.91</v>
      </c>
      <c r="R52" s="3"/>
      <c r="S52" s="3"/>
    </row>
    <row r="53" spans="1:19" ht="69.900000000000006" customHeight="1" x14ac:dyDescent="0.3">
      <c r="A53" s="3" t="s">
        <v>615</v>
      </c>
      <c r="B53" s="3" t="s">
        <v>490</v>
      </c>
      <c r="C53" s="3" t="s">
        <v>616</v>
      </c>
      <c r="D53" s="3" t="s">
        <v>617</v>
      </c>
      <c r="E53" s="3" t="s">
        <v>65</v>
      </c>
      <c r="F53" s="3" t="s">
        <v>95</v>
      </c>
      <c r="G53" s="3" t="s">
        <v>57</v>
      </c>
      <c r="H53" s="3" t="s">
        <v>411</v>
      </c>
      <c r="I53" s="4">
        <v>1999924866</v>
      </c>
      <c r="J53" s="4">
        <v>1559283349</v>
      </c>
      <c r="K53" s="4">
        <v>3559208215</v>
      </c>
      <c r="L53" s="13">
        <v>44159</v>
      </c>
      <c r="M53" s="13"/>
      <c r="N53" s="13">
        <v>44246</v>
      </c>
      <c r="O53" s="13">
        <v>44341</v>
      </c>
      <c r="P53" s="4">
        <v>100.03</v>
      </c>
      <c r="Q53" s="4">
        <v>87.3</v>
      </c>
      <c r="R53" s="3"/>
      <c r="S53" s="3"/>
    </row>
    <row r="54" spans="1:19" ht="69.900000000000006" customHeight="1" x14ac:dyDescent="0.3">
      <c r="A54" s="3" t="s">
        <v>618</v>
      </c>
      <c r="B54" s="3" t="s">
        <v>490</v>
      </c>
      <c r="C54" s="3" t="s">
        <v>619</v>
      </c>
      <c r="D54" s="3" t="s">
        <v>620</v>
      </c>
      <c r="E54" s="3" t="s">
        <v>65</v>
      </c>
      <c r="F54" s="3" t="s">
        <v>95</v>
      </c>
      <c r="G54" s="3" t="s">
        <v>67</v>
      </c>
      <c r="H54" s="3" t="s">
        <v>374</v>
      </c>
      <c r="I54" s="4">
        <v>3591118773</v>
      </c>
      <c r="J54" s="4">
        <v>177500000</v>
      </c>
      <c r="K54" s="4">
        <v>3768618773</v>
      </c>
      <c r="L54" s="13">
        <v>44330</v>
      </c>
      <c r="M54" s="13"/>
      <c r="N54" s="13">
        <v>44393</v>
      </c>
      <c r="O54" s="13">
        <v>44418</v>
      </c>
      <c r="P54" s="4">
        <v>95.18</v>
      </c>
      <c r="Q54" s="4">
        <v>84.17</v>
      </c>
      <c r="R54" s="3"/>
      <c r="S54" s="3"/>
    </row>
    <row r="55" spans="1:19" ht="69.900000000000006" customHeight="1" x14ac:dyDescent="0.3">
      <c r="A55" s="3" t="s">
        <v>621</v>
      </c>
      <c r="B55" s="3" t="s">
        <v>490</v>
      </c>
      <c r="C55" s="3" t="s">
        <v>622</v>
      </c>
      <c r="D55" s="3" t="s">
        <v>623</v>
      </c>
      <c r="E55" s="3" t="s">
        <v>65</v>
      </c>
      <c r="F55" s="3" t="s">
        <v>95</v>
      </c>
      <c r="G55" s="3" t="s">
        <v>57</v>
      </c>
      <c r="H55" s="3" t="s">
        <v>374</v>
      </c>
      <c r="I55" s="4">
        <v>2000000000</v>
      </c>
      <c r="J55" s="4">
        <v>1560969376</v>
      </c>
      <c r="K55" s="4">
        <v>3560969376</v>
      </c>
      <c r="L55" s="13">
        <v>44159</v>
      </c>
      <c r="M55" s="13"/>
      <c r="N55" s="13">
        <v>44246</v>
      </c>
      <c r="O55" s="13">
        <v>44337</v>
      </c>
      <c r="P55" s="4">
        <v>100.04</v>
      </c>
      <c r="Q55" s="4">
        <v>100</v>
      </c>
      <c r="R55" s="3"/>
      <c r="S55" s="3"/>
    </row>
    <row r="56" spans="1:19" ht="69.900000000000006" customHeight="1" x14ac:dyDescent="0.3">
      <c r="A56" s="3" t="s">
        <v>624</v>
      </c>
      <c r="B56" s="3" t="s">
        <v>568</v>
      </c>
      <c r="C56" s="3" t="s">
        <v>625</v>
      </c>
      <c r="D56" s="3" t="s">
        <v>626</v>
      </c>
      <c r="E56" s="3" t="s">
        <v>65</v>
      </c>
      <c r="F56" s="3" t="s">
        <v>95</v>
      </c>
      <c r="G56" s="3" t="s">
        <v>67</v>
      </c>
      <c r="H56" s="3" t="s">
        <v>374</v>
      </c>
      <c r="I56" s="4">
        <v>1999112638.9200001</v>
      </c>
      <c r="J56" s="4">
        <v>857237428</v>
      </c>
      <c r="K56" s="4">
        <v>2856350066.9200001</v>
      </c>
      <c r="L56" s="13">
        <v>44159</v>
      </c>
      <c r="M56" s="13"/>
      <c r="N56" s="13">
        <v>44259</v>
      </c>
      <c r="O56" s="13">
        <v>44474</v>
      </c>
      <c r="P56" s="4">
        <v>99.08</v>
      </c>
      <c r="Q56" s="4">
        <v>99.46</v>
      </c>
      <c r="R56" s="3"/>
      <c r="S56" s="3"/>
    </row>
    <row r="57" spans="1:19" ht="69.900000000000006" customHeight="1" x14ac:dyDescent="0.3">
      <c r="A57" s="3" t="s">
        <v>627</v>
      </c>
      <c r="B57" s="3" t="s">
        <v>628</v>
      </c>
      <c r="C57" s="3" t="s">
        <v>629</v>
      </c>
      <c r="D57" s="3" t="s">
        <v>630</v>
      </c>
      <c r="E57" s="3" t="s">
        <v>65</v>
      </c>
      <c r="F57" s="3" t="s">
        <v>95</v>
      </c>
      <c r="G57" s="3" t="s">
        <v>67</v>
      </c>
      <c r="H57" s="3" t="s">
        <v>374</v>
      </c>
      <c r="I57" s="4">
        <v>7500000000</v>
      </c>
      <c r="J57" s="4">
        <v>0</v>
      </c>
      <c r="K57" s="4">
        <v>7500000000</v>
      </c>
      <c r="L57" s="13">
        <v>44348</v>
      </c>
      <c r="M57" s="13"/>
      <c r="N57" s="13">
        <v>44379</v>
      </c>
      <c r="O57" s="13">
        <v>44407</v>
      </c>
      <c r="P57" s="4">
        <v>58.72</v>
      </c>
      <c r="Q57" s="4">
        <v>58.7</v>
      </c>
      <c r="R57" s="3"/>
      <c r="S57" s="3"/>
    </row>
    <row r="58" spans="1:19" ht="69.900000000000006" customHeight="1" x14ac:dyDescent="0.3">
      <c r="A58" s="3" t="s">
        <v>631</v>
      </c>
      <c r="B58" s="3" t="s">
        <v>522</v>
      </c>
      <c r="C58" s="3" t="s">
        <v>632</v>
      </c>
      <c r="D58" s="3" t="s">
        <v>633</v>
      </c>
      <c r="E58" s="3" t="s">
        <v>65</v>
      </c>
      <c r="F58" s="3" t="s">
        <v>95</v>
      </c>
      <c r="G58" s="3" t="s">
        <v>57</v>
      </c>
      <c r="H58" s="3" t="s">
        <v>423</v>
      </c>
      <c r="I58" s="4">
        <v>1999803848</v>
      </c>
      <c r="J58" s="4">
        <v>1394426448</v>
      </c>
      <c r="K58" s="4">
        <v>3394230296</v>
      </c>
      <c r="L58" s="13">
        <v>44159</v>
      </c>
      <c r="M58" s="13"/>
      <c r="N58" s="13">
        <v>44320</v>
      </c>
      <c r="O58" s="13">
        <v>44467</v>
      </c>
      <c r="P58" s="4">
        <v>99.71</v>
      </c>
      <c r="Q58" s="4">
        <v>100.53</v>
      </c>
      <c r="R58" s="3"/>
      <c r="S58" s="3"/>
    </row>
    <row r="59" spans="1:19" ht="69.900000000000006" customHeight="1" x14ac:dyDescent="0.3">
      <c r="A59" s="3" t="s">
        <v>634</v>
      </c>
      <c r="B59" s="3" t="s">
        <v>552</v>
      </c>
      <c r="C59" s="3" t="s">
        <v>635</v>
      </c>
      <c r="D59" s="3" t="s">
        <v>636</v>
      </c>
      <c r="E59" s="3" t="s">
        <v>65</v>
      </c>
      <c r="F59" s="3" t="s">
        <v>95</v>
      </c>
      <c r="G59" s="3" t="s">
        <v>67</v>
      </c>
      <c r="H59" s="3" t="s">
        <v>411</v>
      </c>
      <c r="I59" s="4">
        <v>1738785560</v>
      </c>
      <c r="J59" s="4">
        <v>607572471</v>
      </c>
      <c r="K59" s="4">
        <v>2346358031</v>
      </c>
      <c r="L59" s="13">
        <v>44159</v>
      </c>
      <c r="M59" s="13"/>
      <c r="N59" s="13">
        <v>44309</v>
      </c>
      <c r="O59" s="13">
        <v>44337</v>
      </c>
      <c r="P59" s="4">
        <v>61.77</v>
      </c>
      <c r="Q59" s="4">
        <v>61.03</v>
      </c>
      <c r="R59" s="3"/>
      <c r="S59" s="3"/>
    </row>
    <row r="60" spans="1:19" ht="69.900000000000006" customHeight="1" x14ac:dyDescent="0.3">
      <c r="A60" s="3" t="s">
        <v>637</v>
      </c>
      <c r="B60" s="3" t="s">
        <v>490</v>
      </c>
      <c r="C60" s="3" t="s">
        <v>638</v>
      </c>
      <c r="D60" s="3" t="s">
        <v>639</v>
      </c>
      <c r="E60" s="3" t="s">
        <v>65</v>
      </c>
      <c r="F60" s="3" t="s">
        <v>95</v>
      </c>
      <c r="G60" s="3" t="s">
        <v>57</v>
      </c>
      <c r="H60" s="3" t="s">
        <v>374</v>
      </c>
      <c r="I60" s="4">
        <v>1999000000</v>
      </c>
      <c r="J60" s="4">
        <v>512000000</v>
      </c>
      <c r="K60" s="4">
        <v>2511000000</v>
      </c>
      <c r="L60" s="13">
        <v>44159</v>
      </c>
      <c r="M60" s="13"/>
      <c r="N60" s="13">
        <v>44246</v>
      </c>
      <c r="O60" s="13">
        <v>44340</v>
      </c>
      <c r="P60" s="4">
        <v>99.99</v>
      </c>
      <c r="Q60" s="4">
        <v>100</v>
      </c>
      <c r="R60" s="3"/>
      <c r="S60" s="3"/>
    </row>
    <row r="61" spans="1:19" ht="69.900000000000006" customHeight="1" x14ac:dyDescent="0.3">
      <c r="A61" s="3" t="s">
        <v>640</v>
      </c>
      <c r="B61" s="3" t="s">
        <v>641</v>
      </c>
      <c r="C61" s="3" t="s">
        <v>642</v>
      </c>
      <c r="D61" s="3" t="s">
        <v>643</v>
      </c>
      <c r="E61" s="3" t="s">
        <v>65</v>
      </c>
      <c r="F61" s="3" t="s">
        <v>95</v>
      </c>
      <c r="G61" s="3" t="s">
        <v>67</v>
      </c>
      <c r="H61" s="3" t="s">
        <v>374</v>
      </c>
      <c r="I61" s="4">
        <v>1775630700</v>
      </c>
      <c r="J61" s="4">
        <v>118901400</v>
      </c>
      <c r="K61" s="4">
        <v>1894532100</v>
      </c>
      <c r="L61" s="13">
        <v>44368</v>
      </c>
      <c r="M61" s="13"/>
      <c r="N61" s="13">
        <v>44924</v>
      </c>
      <c r="O61" s="13">
        <v>44456</v>
      </c>
      <c r="P61" s="4">
        <v>94.11</v>
      </c>
      <c r="Q61" s="4">
        <v>94.38</v>
      </c>
      <c r="R61" s="3"/>
      <c r="S61" s="3"/>
    </row>
    <row r="62" spans="1:19" ht="69.900000000000006" customHeight="1" x14ac:dyDescent="0.3">
      <c r="A62" s="3" t="s">
        <v>644</v>
      </c>
      <c r="B62" s="3" t="s">
        <v>560</v>
      </c>
      <c r="C62" s="3" t="s">
        <v>645</v>
      </c>
      <c r="D62" s="3" t="s">
        <v>646</v>
      </c>
      <c r="E62" s="3" t="s">
        <v>65</v>
      </c>
      <c r="F62" s="3" t="s">
        <v>95</v>
      </c>
      <c r="G62" s="3" t="s">
        <v>67</v>
      </c>
      <c r="H62" s="3" t="s">
        <v>374</v>
      </c>
      <c r="I62" s="4">
        <v>750000000</v>
      </c>
      <c r="J62" s="4">
        <v>168904760</v>
      </c>
      <c r="K62" s="4">
        <v>918904760</v>
      </c>
      <c r="L62" s="13">
        <v>44377</v>
      </c>
      <c r="M62" s="13"/>
      <c r="N62" s="13">
        <v>44440</v>
      </c>
      <c r="O62" s="13">
        <v>44589</v>
      </c>
      <c r="P62" s="4">
        <v>55.76</v>
      </c>
      <c r="Q62" s="4">
        <v>60.48</v>
      </c>
      <c r="R62" s="3"/>
      <c r="S62" s="3"/>
    </row>
    <row r="63" spans="1:19" ht="69.900000000000006" customHeight="1" x14ac:dyDescent="0.3">
      <c r="A63" s="3" t="s">
        <v>647</v>
      </c>
      <c r="B63" s="3" t="s">
        <v>648</v>
      </c>
      <c r="C63" s="3" t="s">
        <v>649</v>
      </c>
      <c r="D63" s="3" t="s">
        <v>650</v>
      </c>
      <c r="E63" s="3" t="s">
        <v>65</v>
      </c>
      <c r="F63" s="3" t="s">
        <v>95</v>
      </c>
      <c r="G63" s="3" t="s">
        <v>67</v>
      </c>
      <c r="H63" s="3" t="s">
        <v>374</v>
      </c>
      <c r="I63" s="4">
        <v>2828005287</v>
      </c>
      <c r="J63" s="4">
        <v>241611863</v>
      </c>
      <c r="K63" s="4">
        <v>3069617150</v>
      </c>
      <c r="L63" s="13">
        <v>44348</v>
      </c>
      <c r="M63" s="13"/>
      <c r="N63" s="13">
        <v>44924</v>
      </c>
      <c r="O63" s="13">
        <v>44410</v>
      </c>
      <c r="P63" s="4">
        <v>94.61</v>
      </c>
      <c r="Q63" s="4">
        <v>83.98</v>
      </c>
      <c r="R63" s="3"/>
      <c r="S63" s="3"/>
    </row>
    <row r="64" spans="1:19" ht="69.900000000000006" customHeight="1" x14ac:dyDescent="0.3">
      <c r="A64" s="3" t="s">
        <v>651</v>
      </c>
      <c r="B64" s="3" t="s">
        <v>424</v>
      </c>
      <c r="C64" s="3" t="s">
        <v>652</v>
      </c>
      <c r="D64" s="3" t="s">
        <v>653</v>
      </c>
      <c r="E64" s="3" t="s">
        <v>86</v>
      </c>
      <c r="F64" s="3" t="s">
        <v>654</v>
      </c>
      <c r="G64" s="3" t="s">
        <v>67</v>
      </c>
      <c r="H64" s="15" t="s">
        <v>379</v>
      </c>
      <c r="I64" s="4">
        <v>69047758069</v>
      </c>
      <c r="J64" s="4">
        <v>0</v>
      </c>
      <c r="K64" s="4">
        <v>69047758069</v>
      </c>
      <c r="L64" s="13">
        <v>44551</v>
      </c>
      <c r="M64" s="13"/>
      <c r="N64" s="13">
        <v>44652</v>
      </c>
      <c r="O64" s="13">
        <v>44810</v>
      </c>
      <c r="P64" s="4">
        <v>93.54</v>
      </c>
      <c r="Q64" s="4">
        <v>94.51</v>
      </c>
      <c r="R64" s="3"/>
      <c r="S64" s="3"/>
    </row>
    <row r="65" spans="1:19" ht="69.900000000000006" customHeight="1" x14ac:dyDescent="0.3">
      <c r="A65" s="3" t="s">
        <v>655</v>
      </c>
      <c r="B65" s="3" t="s">
        <v>494</v>
      </c>
      <c r="C65" s="3" t="s">
        <v>656</v>
      </c>
      <c r="D65" s="3" t="s">
        <v>657</v>
      </c>
      <c r="E65" s="3" t="s">
        <v>65</v>
      </c>
      <c r="F65" s="3" t="s">
        <v>95</v>
      </c>
      <c r="G65" s="3" t="s">
        <v>67</v>
      </c>
      <c r="H65" s="3" t="s">
        <v>374</v>
      </c>
      <c r="I65" s="4">
        <v>17635937500</v>
      </c>
      <c r="J65" s="4">
        <v>782206000</v>
      </c>
      <c r="K65" s="4">
        <v>18418143500</v>
      </c>
      <c r="L65" s="13">
        <v>44330</v>
      </c>
      <c r="M65" s="13"/>
      <c r="N65" s="13">
        <v>44365</v>
      </c>
      <c r="O65" s="13">
        <v>44438</v>
      </c>
      <c r="P65" s="4">
        <v>81.39</v>
      </c>
      <c r="Q65" s="4">
        <v>81.650000000000006</v>
      </c>
      <c r="R65" s="3"/>
      <c r="S65" s="3"/>
    </row>
    <row r="66" spans="1:19" ht="69.900000000000006" customHeight="1" x14ac:dyDescent="0.3">
      <c r="A66" s="3" t="s">
        <v>658</v>
      </c>
      <c r="B66" s="3" t="s">
        <v>482</v>
      </c>
      <c r="C66" s="3" t="s">
        <v>659</v>
      </c>
      <c r="D66" s="3" t="s">
        <v>660</v>
      </c>
      <c r="E66" s="3" t="s">
        <v>65</v>
      </c>
      <c r="F66" s="3" t="s">
        <v>95</v>
      </c>
      <c r="G66" s="3" t="s">
        <v>67</v>
      </c>
      <c r="H66" s="3" t="s">
        <v>374</v>
      </c>
      <c r="I66" s="4">
        <v>1309600000</v>
      </c>
      <c r="J66" s="4">
        <v>210350000</v>
      </c>
      <c r="K66" s="4">
        <v>1519950000</v>
      </c>
      <c r="L66" s="13">
        <v>44348</v>
      </c>
      <c r="M66" s="13"/>
      <c r="N66" s="13">
        <v>44924</v>
      </c>
      <c r="O66" s="13">
        <v>44466</v>
      </c>
      <c r="P66" s="4">
        <v>93.84</v>
      </c>
      <c r="Q66" s="4">
        <v>95.06</v>
      </c>
      <c r="R66" s="3"/>
      <c r="S66" s="3"/>
    </row>
    <row r="67" spans="1:19" ht="69.900000000000006" customHeight="1" x14ac:dyDescent="0.3">
      <c r="A67" s="3" t="s">
        <v>661</v>
      </c>
      <c r="B67" s="3" t="s">
        <v>568</v>
      </c>
      <c r="C67" s="3" t="s">
        <v>662</v>
      </c>
      <c r="D67" s="3" t="s">
        <v>663</v>
      </c>
      <c r="E67" s="3" t="s">
        <v>65</v>
      </c>
      <c r="F67" s="3" t="s">
        <v>95</v>
      </c>
      <c r="G67" s="3" t="s">
        <v>67</v>
      </c>
      <c r="H67" s="3" t="s">
        <v>374</v>
      </c>
      <c r="I67" s="4">
        <v>2750000000</v>
      </c>
      <c r="J67" s="4">
        <v>25000000</v>
      </c>
      <c r="K67" s="4">
        <v>2775000000</v>
      </c>
      <c r="L67" s="13">
        <v>44384</v>
      </c>
      <c r="M67" s="13"/>
      <c r="N67" s="13">
        <v>44429</v>
      </c>
      <c r="O67" s="13">
        <v>44530</v>
      </c>
      <c r="P67" s="4">
        <v>89.45</v>
      </c>
      <c r="Q67" s="4">
        <v>96.7</v>
      </c>
      <c r="R67" s="3"/>
      <c r="S67" s="3"/>
    </row>
    <row r="68" spans="1:19" ht="69.900000000000006" customHeight="1" x14ac:dyDescent="0.3">
      <c r="A68" s="3" t="s">
        <v>664</v>
      </c>
      <c r="B68" s="3" t="s">
        <v>506</v>
      </c>
      <c r="C68" s="3" t="s">
        <v>665</v>
      </c>
      <c r="D68" s="3" t="s">
        <v>666</v>
      </c>
      <c r="E68" s="3" t="s">
        <v>65</v>
      </c>
      <c r="F68" s="3" t="s">
        <v>95</v>
      </c>
      <c r="G68" s="3" t="s">
        <v>67</v>
      </c>
      <c r="H68" s="3" t="s">
        <v>374</v>
      </c>
      <c r="I68" s="4">
        <v>1500000000</v>
      </c>
      <c r="J68" s="4">
        <v>353734000</v>
      </c>
      <c r="K68" s="4">
        <v>1853734000</v>
      </c>
      <c r="L68" s="13">
        <v>44368</v>
      </c>
      <c r="M68" s="13"/>
      <c r="N68" s="13">
        <v>44368</v>
      </c>
      <c r="O68" s="13">
        <v>44433</v>
      </c>
      <c r="P68" s="4">
        <v>96.28</v>
      </c>
      <c r="Q68" s="4">
        <v>93.62</v>
      </c>
      <c r="R68" s="3"/>
      <c r="S68" s="3"/>
    </row>
    <row r="69" spans="1:19" ht="69.900000000000006" customHeight="1" x14ac:dyDescent="0.3">
      <c r="A69" s="3" t="s">
        <v>667</v>
      </c>
      <c r="B69" s="3" t="s">
        <v>514</v>
      </c>
      <c r="C69" s="3" t="s">
        <v>668</v>
      </c>
      <c r="D69" s="3" t="s">
        <v>669</v>
      </c>
      <c r="E69" s="3" t="s">
        <v>65</v>
      </c>
      <c r="F69" s="3" t="s">
        <v>95</v>
      </c>
      <c r="G69" s="3" t="s">
        <v>67</v>
      </c>
      <c r="H69" s="3" t="s">
        <v>374</v>
      </c>
      <c r="I69" s="4">
        <v>1411798728</v>
      </c>
      <c r="J69" s="4">
        <v>120549808</v>
      </c>
      <c r="K69" s="4">
        <v>1532348536</v>
      </c>
      <c r="L69" s="13">
        <v>44368</v>
      </c>
      <c r="M69" s="13"/>
      <c r="N69" s="13">
        <v>44925</v>
      </c>
      <c r="O69" s="13">
        <v>44407</v>
      </c>
      <c r="P69" s="4">
        <v>96.02</v>
      </c>
      <c r="Q69" s="4">
        <v>88.96</v>
      </c>
      <c r="R69" s="3"/>
      <c r="S69" s="3"/>
    </row>
    <row r="70" spans="1:19" ht="69.900000000000006" customHeight="1" x14ac:dyDescent="0.3">
      <c r="A70" s="3" t="s">
        <v>670</v>
      </c>
      <c r="B70" s="3" t="s">
        <v>671</v>
      </c>
      <c r="C70" s="3" t="s">
        <v>672</v>
      </c>
      <c r="D70" s="3" t="s">
        <v>673</v>
      </c>
      <c r="E70" s="3" t="s">
        <v>65</v>
      </c>
      <c r="F70" s="3" t="s">
        <v>95</v>
      </c>
      <c r="G70" s="3" t="s">
        <v>67</v>
      </c>
      <c r="H70" s="3" t="s">
        <v>374</v>
      </c>
      <c r="I70" s="4">
        <v>1999997728</v>
      </c>
      <c r="J70" s="4">
        <v>663234720</v>
      </c>
      <c r="K70" s="4">
        <v>2663232448</v>
      </c>
      <c r="L70" s="13">
        <v>44536</v>
      </c>
      <c r="M70" s="13"/>
      <c r="N70" s="13">
        <v>44533</v>
      </c>
      <c r="O70" s="13">
        <v>44713</v>
      </c>
      <c r="P70" s="4">
        <v>90.56</v>
      </c>
      <c r="Q70" s="4">
        <v>43.52</v>
      </c>
      <c r="R70" s="3"/>
      <c r="S70" s="3"/>
    </row>
    <row r="71" spans="1:19" ht="69.900000000000006" customHeight="1" x14ac:dyDescent="0.3">
      <c r="A71" s="3" t="s">
        <v>674</v>
      </c>
      <c r="B71" s="3" t="s">
        <v>568</v>
      </c>
      <c r="C71" s="3" t="s">
        <v>675</v>
      </c>
      <c r="D71" s="3" t="s">
        <v>676</v>
      </c>
      <c r="E71" s="3" t="s">
        <v>65</v>
      </c>
      <c r="F71" s="3" t="s">
        <v>95</v>
      </c>
      <c r="G71" s="3" t="s">
        <v>67</v>
      </c>
      <c r="H71" s="3" t="s">
        <v>423</v>
      </c>
      <c r="I71" s="4">
        <v>1999667231.96</v>
      </c>
      <c r="J71" s="4">
        <v>1036153791.2</v>
      </c>
      <c r="K71" s="4">
        <v>3035821023.1599998</v>
      </c>
      <c r="L71" s="13">
        <v>44537</v>
      </c>
      <c r="M71" s="13"/>
      <c r="N71" s="13">
        <v>44606</v>
      </c>
      <c r="O71" s="13">
        <v>44721</v>
      </c>
      <c r="P71" s="4">
        <v>91.99</v>
      </c>
      <c r="Q71" s="4">
        <v>98.96</v>
      </c>
      <c r="R71" s="3"/>
      <c r="S71" s="3"/>
    </row>
    <row r="72" spans="1:19" ht="69.900000000000006" customHeight="1" x14ac:dyDescent="0.3">
      <c r="A72" s="3" t="s">
        <v>677</v>
      </c>
      <c r="B72" s="3" t="s">
        <v>568</v>
      </c>
      <c r="C72" s="3" t="s">
        <v>678</v>
      </c>
      <c r="D72" s="3" t="s">
        <v>679</v>
      </c>
      <c r="E72" s="3" t="s">
        <v>65</v>
      </c>
      <c r="F72" s="3" t="s">
        <v>95</v>
      </c>
      <c r="G72" s="3" t="s">
        <v>181</v>
      </c>
      <c r="H72" s="3" t="s">
        <v>680</v>
      </c>
      <c r="I72" s="4">
        <v>2000000000</v>
      </c>
      <c r="J72" s="4">
        <v>896725569</v>
      </c>
      <c r="K72" s="4">
        <v>2896725569</v>
      </c>
      <c r="L72" s="13">
        <v>44537</v>
      </c>
      <c r="M72" s="13"/>
      <c r="N72" s="13">
        <v>44606</v>
      </c>
      <c r="O72" s="13">
        <v>44740</v>
      </c>
      <c r="P72" s="4">
        <v>100.01</v>
      </c>
      <c r="Q72" s="4">
        <v>99.66</v>
      </c>
      <c r="R72" s="3"/>
      <c r="S72" s="3"/>
    </row>
    <row r="73" spans="1:19" ht="69.900000000000006" customHeight="1" x14ac:dyDescent="0.3">
      <c r="A73" s="3" t="s">
        <v>681</v>
      </c>
      <c r="B73" s="3" t="s">
        <v>522</v>
      </c>
      <c r="C73" s="3" t="s">
        <v>682</v>
      </c>
      <c r="D73" s="3" t="s">
        <v>683</v>
      </c>
      <c r="E73" s="3" t="s">
        <v>65</v>
      </c>
      <c r="F73" s="3" t="s">
        <v>95</v>
      </c>
      <c r="G73" s="3" t="s">
        <v>67</v>
      </c>
      <c r="H73" s="3" t="s">
        <v>365</v>
      </c>
      <c r="I73" s="4">
        <v>1953855779</v>
      </c>
      <c r="J73" s="4">
        <v>505920337</v>
      </c>
      <c r="K73" s="4">
        <v>2459776116</v>
      </c>
      <c r="L73" s="13">
        <v>44537</v>
      </c>
      <c r="M73" s="13"/>
      <c r="N73" s="13">
        <v>44606</v>
      </c>
      <c r="O73" s="13">
        <v>44713</v>
      </c>
      <c r="P73" s="4">
        <v>98.32</v>
      </c>
      <c r="Q73" s="4">
        <v>98.46</v>
      </c>
      <c r="R73" s="3"/>
      <c r="S73" s="3"/>
    </row>
    <row r="74" spans="1:19" ht="69.900000000000006" customHeight="1" x14ac:dyDescent="0.3">
      <c r="A74" s="3" t="s">
        <v>684</v>
      </c>
      <c r="B74" s="3" t="s">
        <v>490</v>
      </c>
      <c r="C74" s="3" t="s">
        <v>685</v>
      </c>
      <c r="D74" s="3" t="s">
        <v>686</v>
      </c>
      <c r="E74" s="3" t="s">
        <v>65</v>
      </c>
      <c r="F74" s="3" t="s">
        <v>95</v>
      </c>
      <c r="G74" s="3" t="s">
        <v>57</v>
      </c>
      <c r="H74" s="3" t="s">
        <v>365</v>
      </c>
      <c r="I74" s="4">
        <v>4351936180</v>
      </c>
      <c r="J74" s="4">
        <v>100000000</v>
      </c>
      <c r="K74" s="4">
        <v>4451936180</v>
      </c>
      <c r="L74" s="13">
        <v>44552</v>
      </c>
      <c r="M74" s="13"/>
      <c r="N74" s="13">
        <v>44560</v>
      </c>
      <c r="O74" s="13">
        <v>44588</v>
      </c>
      <c r="P74" s="4">
        <v>100</v>
      </c>
      <c r="Q74" s="4">
        <v>99.61</v>
      </c>
      <c r="R74" s="3"/>
      <c r="S74" s="3"/>
    </row>
    <row r="75" spans="1:19" ht="69.900000000000006" customHeight="1" x14ac:dyDescent="0.3">
      <c r="A75" s="3" t="s">
        <v>687</v>
      </c>
      <c r="B75" s="3" t="s">
        <v>490</v>
      </c>
      <c r="C75" s="3" t="s">
        <v>688</v>
      </c>
      <c r="D75" s="3" t="s">
        <v>689</v>
      </c>
      <c r="E75" s="3" t="s">
        <v>65</v>
      </c>
      <c r="F75" s="3" t="s">
        <v>95</v>
      </c>
      <c r="G75" s="3" t="s">
        <v>57</v>
      </c>
      <c r="H75" s="3" t="s">
        <v>374</v>
      </c>
      <c r="I75" s="4">
        <v>19906880779</v>
      </c>
      <c r="J75" s="4">
        <v>72000000</v>
      </c>
      <c r="K75" s="4">
        <v>19978880779</v>
      </c>
      <c r="L75" s="13">
        <v>44700</v>
      </c>
      <c r="M75" s="13"/>
      <c r="N75" s="13">
        <v>44756</v>
      </c>
      <c r="O75" s="13">
        <v>44783</v>
      </c>
      <c r="P75" s="4">
        <v>100.01</v>
      </c>
      <c r="Q75" s="4">
        <v>99.34</v>
      </c>
      <c r="R75" s="3"/>
      <c r="S75" s="3"/>
    </row>
    <row r="76" spans="1:19" ht="69.900000000000006" customHeight="1" x14ac:dyDescent="0.3">
      <c r="A76" s="3" t="s">
        <v>690</v>
      </c>
      <c r="B76" s="3" t="s">
        <v>463</v>
      </c>
      <c r="C76" s="3" t="s">
        <v>691</v>
      </c>
      <c r="D76" s="3" t="s">
        <v>692</v>
      </c>
      <c r="E76" s="3" t="s">
        <v>221</v>
      </c>
      <c r="F76" s="3" t="s">
        <v>189</v>
      </c>
      <c r="G76" s="3" t="s">
        <v>57</v>
      </c>
      <c r="H76" s="15" t="s">
        <v>365</v>
      </c>
      <c r="I76" s="4">
        <v>3981132848.27</v>
      </c>
      <c r="J76" s="4">
        <v>0</v>
      </c>
      <c r="K76" s="4">
        <v>3981132848.27</v>
      </c>
      <c r="L76" s="13">
        <v>44509</v>
      </c>
      <c r="M76" s="13"/>
      <c r="N76" s="13">
        <v>44511</v>
      </c>
      <c r="O76" s="13">
        <v>44594</v>
      </c>
      <c r="P76" s="4">
        <v>100</v>
      </c>
      <c r="Q76" s="4">
        <v>99.86</v>
      </c>
      <c r="R76" s="3"/>
      <c r="S76" s="3"/>
    </row>
    <row r="77" spans="1:19" ht="69.900000000000006" customHeight="1" x14ac:dyDescent="0.3">
      <c r="A77" s="14" t="s">
        <v>693</v>
      </c>
      <c r="B77" s="3" t="s">
        <v>694</v>
      </c>
      <c r="C77" s="3" t="s">
        <v>695</v>
      </c>
      <c r="D77" s="3"/>
      <c r="E77" s="3" t="s">
        <v>86</v>
      </c>
      <c r="F77" s="3" t="s">
        <v>696</v>
      </c>
      <c r="G77" s="3" t="s">
        <v>284</v>
      </c>
      <c r="H77" s="17" t="s">
        <v>419</v>
      </c>
      <c r="I77" s="4">
        <v>2407058486</v>
      </c>
      <c r="J77" s="4">
        <v>216768.82000017169</v>
      </c>
      <c r="K77" s="4">
        <v>2407275254.8200002</v>
      </c>
      <c r="L77" s="13">
        <v>44844</v>
      </c>
      <c r="M77" s="13"/>
      <c r="N77" s="13"/>
      <c r="O77" s="13"/>
      <c r="P77" s="4">
        <v>0</v>
      </c>
      <c r="Q77" s="4">
        <v>0</v>
      </c>
      <c r="R77" s="3"/>
      <c r="S77" s="3"/>
    </row>
    <row r="78" spans="1:19" ht="69.900000000000006" customHeight="1" x14ac:dyDescent="0.3">
      <c r="A78" s="3" t="s">
        <v>697</v>
      </c>
      <c r="B78" s="3" t="s">
        <v>463</v>
      </c>
      <c r="C78" s="3" t="s">
        <v>698</v>
      </c>
      <c r="D78" s="3" t="s">
        <v>699</v>
      </c>
      <c r="E78" s="3" t="s">
        <v>86</v>
      </c>
      <c r="F78" s="3" t="s">
        <v>700</v>
      </c>
      <c r="G78" s="3" t="s">
        <v>67</v>
      </c>
      <c r="H78" s="15" t="s">
        <v>374</v>
      </c>
      <c r="I78" s="4">
        <v>45601872749</v>
      </c>
      <c r="J78" s="4">
        <v>0</v>
      </c>
      <c r="K78" s="4">
        <v>45601872749</v>
      </c>
      <c r="L78" s="13">
        <v>44560</v>
      </c>
      <c r="M78" s="13"/>
      <c r="N78" s="13">
        <v>44559</v>
      </c>
      <c r="O78" s="13">
        <v>44669</v>
      </c>
      <c r="P78" s="4">
        <v>86.14</v>
      </c>
      <c r="Q78" s="4">
        <v>92.14</v>
      </c>
      <c r="R78" s="3"/>
      <c r="S78" s="3"/>
    </row>
    <row r="79" spans="1:19" ht="69.900000000000006" customHeight="1" x14ac:dyDescent="0.3">
      <c r="A79" s="3" t="s">
        <v>701</v>
      </c>
      <c r="B79" s="3" t="s">
        <v>702</v>
      </c>
      <c r="C79" s="3" t="s">
        <v>703</v>
      </c>
      <c r="D79" s="3" t="s">
        <v>704</v>
      </c>
      <c r="E79" s="3" t="s">
        <v>86</v>
      </c>
      <c r="F79" s="3" t="s">
        <v>89</v>
      </c>
      <c r="G79" s="3" t="s">
        <v>57</v>
      </c>
      <c r="H79" s="15" t="s">
        <v>374</v>
      </c>
      <c r="I79" s="4">
        <v>2489078661</v>
      </c>
      <c r="J79" s="4">
        <v>0</v>
      </c>
      <c r="K79" s="4">
        <v>2489078661</v>
      </c>
      <c r="L79" s="13">
        <v>44559</v>
      </c>
      <c r="M79" s="13"/>
      <c r="N79" s="13">
        <v>44559</v>
      </c>
      <c r="O79" s="13">
        <v>44810</v>
      </c>
      <c r="P79" s="4">
        <v>100</v>
      </c>
      <c r="Q79" s="4">
        <v>99.97</v>
      </c>
      <c r="R79" s="3"/>
      <c r="S79" s="3"/>
    </row>
    <row r="80" spans="1:19" ht="69.900000000000006" customHeight="1" x14ac:dyDescent="0.3">
      <c r="A80" s="3" t="s">
        <v>705</v>
      </c>
      <c r="B80" s="3" t="s">
        <v>706</v>
      </c>
      <c r="C80" s="3" t="s">
        <v>707</v>
      </c>
      <c r="D80" s="3" t="s">
        <v>708</v>
      </c>
      <c r="E80" s="3" t="s">
        <v>86</v>
      </c>
      <c r="F80" s="3" t="s">
        <v>89</v>
      </c>
      <c r="G80" s="3" t="s">
        <v>67</v>
      </c>
      <c r="H80" s="15" t="s">
        <v>379</v>
      </c>
      <c r="I80" s="4">
        <v>18036167387.900002</v>
      </c>
      <c r="J80" s="4">
        <v>0</v>
      </c>
      <c r="K80" s="4">
        <v>18036167387.900002</v>
      </c>
      <c r="L80" s="13">
        <v>44559</v>
      </c>
      <c r="M80" s="13"/>
      <c r="N80" s="24"/>
      <c r="O80" s="13">
        <v>44708</v>
      </c>
      <c r="P80" s="4">
        <v>81.45</v>
      </c>
      <c r="Q80" s="4">
        <v>82.2</v>
      </c>
      <c r="R80" s="3"/>
      <c r="S80" s="3"/>
    </row>
    <row r="81" spans="1:19" ht="69.900000000000006" customHeight="1" x14ac:dyDescent="0.3">
      <c r="A81" s="3" t="s">
        <v>709</v>
      </c>
      <c r="B81" s="3" t="s">
        <v>702</v>
      </c>
      <c r="C81" s="3" t="s">
        <v>710</v>
      </c>
      <c r="D81" s="3" t="s">
        <v>711</v>
      </c>
      <c r="E81" s="3" t="s">
        <v>86</v>
      </c>
      <c r="F81" s="3" t="s">
        <v>148</v>
      </c>
      <c r="G81" s="3" t="s">
        <v>67</v>
      </c>
      <c r="H81" s="16" t="s">
        <v>379</v>
      </c>
      <c r="I81" s="4">
        <v>41816156185</v>
      </c>
      <c r="J81" s="4">
        <v>0</v>
      </c>
      <c r="K81" s="4">
        <v>41816156185</v>
      </c>
      <c r="L81" s="13">
        <v>44624</v>
      </c>
      <c r="M81" s="13"/>
      <c r="N81" s="13">
        <v>44624</v>
      </c>
      <c r="O81" s="13">
        <v>44873</v>
      </c>
      <c r="P81" s="4">
        <v>64.319999999999993</v>
      </c>
      <c r="Q81" s="4">
        <v>73.13</v>
      </c>
      <c r="R81" s="3"/>
      <c r="S81" s="3"/>
    </row>
    <row r="82" spans="1:19" ht="69.900000000000006" customHeight="1" x14ac:dyDescent="0.3">
      <c r="A82" s="3" t="s">
        <v>712</v>
      </c>
      <c r="B82" s="3" t="s">
        <v>490</v>
      </c>
      <c r="C82" s="3" t="s">
        <v>713</v>
      </c>
      <c r="D82" s="3" t="s">
        <v>714</v>
      </c>
      <c r="E82" s="3" t="s">
        <v>65</v>
      </c>
      <c r="F82" s="3" t="s">
        <v>95</v>
      </c>
      <c r="G82" s="3" t="s">
        <v>67</v>
      </c>
      <c r="H82" s="3" t="s">
        <v>374</v>
      </c>
      <c r="I82" s="4">
        <v>9606506835</v>
      </c>
      <c r="J82" s="4">
        <v>90000000</v>
      </c>
      <c r="K82" s="4">
        <v>9696506835</v>
      </c>
      <c r="L82" s="13">
        <v>44887</v>
      </c>
      <c r="M82" s="13"/>
      <c r="N82" s="13">
        <v>44911</v>
      </c>
      <c r="O82" s="13">
        <v>45070</v>
      </c>
      <c r="P82" s="4">
        <v>99.96</v>
      </c>
      <c r="Q82" s="4">
        <v>92.4</v>
      </c>
      <c r="R82" s="3"/>
      <c r="S82" s="3"/>
    </row>
    <row r="83" spans="1:19" ht="69.900000000000006" customHeight="1" x14ac:dyDescent="0.3">
      <c r="A83" s="3" t="s">
        <v>715</v>
      </c>
      <c r="B83" s="3" t="s">
        <v>716</v>
      </c>
      <c r="C83" s="3" t="s">
        <v>717</v>
      </c>
      <c r="D83" s="3" t="s">
        <v>718</v>
      </c>
      <c r="E83" s="3" t="s">
        <v>65</v>
      </c>
      <c r="F83" s="3" t="s">
        <v>95</v>
      </c>
      <c r="G83" s="3" t="s">
        <v>57</v>
      </c>
      <c r="H83" s="3" t="s">
        <v>423</v>
      </c>
      <c r="I83" s="4">
        <v>500000000</v>
      </c>
      <c r="J83" s="4">
        <v>85470000</v>
      </c>
      <c r="K83" s="4">
        <v>585470000</v>
      </c>
      <c r="L83" s="13">
        <v>44887</v>
      </c>
      <c r="M83" s="13"/>
      <c r="N83" s="13">
        <v>44930</v>
      </c>
      <c r="O83" s="13">
        <v>44986</v>
      </c>
      <c r="P83" s="4">
        <v>100</v>
      </c>
      <c r="Q83" s="4">
        <v>95.06</v>
      </c>
      <c r="R83" s="3"/>
      <c r="S83" s="3"/>
    </row>
    <row r="84" spans="1:19" ht="69.900000000000006" customHeight="1" x14ac:dyDescent="0.3">
      <c r="A84" s="3" t="s">
        <v>719</v>
      </c>
      <c r="B84" s="3" t="s">
        <v>720</v>
      </c>
      <c r="C84" s="3" t="s">
        <v>721</v>
      </c>
      <c r="D84" s="3" t="s">
        <v>722</v>
      </c>
      <c r="E84" s="3" t="s">
        <v>65</v>
      </c>
      <c r="F84" s="3" t="s">
        <v>95</v>
      </c>
      <c r="G84" s="3" t="s">
        <v>67</v>
      </c>
      <c r="H84" s="3" t="s">
        <v>374</v>
      </c>
      <c r="I84" s="4">
        <v>4299593384</v>
      </c>
      <c r="J84" s="4">
        <v>126145067</v>
      </c>
      <c r="K84" s="4">
        <v>4425738451</v>
      </c>
      <c r="L84" s="13">
        <v>44914</v>
      </c>
      <c r="M84" s="13"/>
      <c r="N84" s="13">
        <v>45055</v>
      </c>
      <c r="O84" s="13">
        <v>45139</v>
      </c>
      <c r="P84" s="4">
        <v>82.82</v>
      </c>
      <c r="Q84" s="4">
        <v>82.73</v>
      </c>
      <c r="R84" s="3"/>
      <c r="S84" s="3"/>
    </row>
    <row r="85" spans="1:19" ht="69.900000000000006" customHeight="1" x14ac:dyDescent="0.3">
      <c r="A85" s="3" t="s">
        <v>723</v>
      </c>
      <c r="B85" s="3" t="s">
        <v>724</v>
      </c>
      <c r="C85" s="3" t="s">
        <v>725</v>
      </c>
      <c r="D85" s="3" t="s">
        <v>726</v>
      </c>
      <c r="E85" s="3" t="s">
        <v>175</v>
      </c>
      <c r="F85" s="3" t="s">
        <v>89</v>
      </c>
      <c r="G85" s="3" t="s">
        <v>57</v>
      </c>
      <c r="H85" s="15" t="s">
        <v>365</v>
      </c>
      <c r="I85" s="4">
        <v>29623316906.279999</v>
      </c>
      <c r="J85" s="4">
        <v>0</v>
      </c>
      <c r="K85" s="4">
        <v>29623316906.279999</v>
      </c>
      <c r="L85" s="13">
        <v>44925</v>
      </c>
      <c r="M85" s="13"/>
      <c r="N85" s="13">
        <v>44952</v>
      </c>
      <c r="O85" s="13">
        <v>45030</v>
      </c>
      <c r="P85" s="4">
        <v>98.28</v>
      </c>
      <c r="Q85" s="4">
        <v>93.6</v>
      </c>
      <c r="R85" s="3"/>
      <c r="S85" s="3"/>
    </row>
    <row r="86" spans="1:19" ht="69.900000000000006" customHeight="1" x14ac:dyDescent="0.3">
      <c r="A86" s="3" t="s">
        <v>727</v>
      </c>
      <c r="B86" s="3" t="s">
        <v>728</v>
      </c>
      <c r="C86" s="3" t="s">
        <v>729</v>
      </c>
      <c r="D86" s="3" t="s">
        <v>730</v>
      </c>
      <c r="E86" s="3" t="s">
        <v>86</v>
      </c>
      <c r="F86" s="3" t="s">
        <v>148</v>
      </c>
      <c r="G86" s="3" t="s">
        <v>67</v>
      </c>
      <c r="H86" s="15" t="s">
        <v>379</v>
      </c>
      <c r="I86" s="4">
        <v>30461715692</v>
      </c>
      <c r="J86" s="4">
        <v>0</v>
      </c>
      <c r="K86" s="4">
        <v>30461715692</v>
      </c>
      <c r="L86" s="13">
        <v>45064</v>
      </c>
      <c r="M86" s="13"/>
      <c r="N86" s="13">
        <v>45202</v>
      </c>
      <c r="O86" s="13">
        <v>45289</v>
      </c>
      <c r="P86" s="4">
        <v>83.59</v>
      </c>
      <c r="Q86" s="4">
        <v>90.33</v>
      </c>
      <c r="R86" s="3"/>
      <c r="S86" s="3"/>
    </row>
    <row r="87" spans="1:19" ht="69.900000000000006" customHeight="1" x14ac:dyDescent="0.3">
      <c r="A87" s="3" t="s">
        <v>731</v>
      </c>
      <c r="B87" s="3" t="s">
        <v>732</v>
      </c>
      <c r="C87" s="3" t="s">
        <v>733</v>
      </c>
      <c r="D87" s="3" t="s">
        <v>734</v>
      </c>
      <c r="E87" s="3" t="s">
        <v>65</v>
      </c>
      <c r="F87" s="3" t="s">
        <v>95</v>
      </c>
      <c r="G87" s="3" t="s">
        <v>67</v>
      </c>
      <c r="H87" s="3" t="s">
        <v>374</v>
      </c>
      <c r="I87" s="4">
        <v>17454000000</v>
      </c>
      <c r="J87" s="4">
        <v>307000000</v>
      </c>
      <c r="K87" s="4">
        <v>17761000000</v>
      </c>
      <c r="L87" s="13">
        <v>45154</v>
      </c>
      <c r="M87" s="13"/>
      <c r="N87" s="13">
        <v>45428</v>
      </c>
      <c r="O87" s="13">
        <v>45317</v>
      </c>
      <c r="P87" s="4">
        <v>73.41</v>
      </c>
      <c r="Q87" s="4">
        <v>66.63</v>
      </c>
      <c r="R87" s="3"/>
      <c r="S87" s="3"/>
    </row>
    <row r="88" spans="1:19" ht="69.900000000000006" customHeight="1" x14ac:dyDescent="0.3">
      <c r="A88" s="3" t="s">
        <v>735</v>
      </c>
      <c r="B88" s="3" t="s">
        <v>736</v>
      </c>
      <c r="C88" s="3" t="s">
        <v>737</v>
      </c>
      <c r="D88" s="3" t="s">
        <v>738</v>
      </c>
      <c r="E88" s="3" t="s">
        <v>65</v>
      </c>
      <c r="F88" s="3" t="s">
        <v>170</v>
      </c>
      <c r="G88" s="3" t="s">
        <v>67</v>
      </c>
      <c r="H88" s="3" t="s">
        <v>374</v>
      </c>
      <c r="I88" s="4">
        <v>8419333809</v>
      </c>
      <c r="J88" s="4">
        <v>1511453285</v>
      </c>
      <c r="K88" s="4">
        <v>9930787094</v>
      </c>
      <c r="L88" s="13">
        <v>45154</v>
      </c>
      <c r="M88" s="13"/>
      <c r="N88" s="13">
        <v>45281</v>
      </c>
      <c r="O88" s="13">
        <v>45328</v>
      </c>
      <c r="P88" s="4">
        <v>39.99</v>
      </c>
      <c r="Q88" s="4">
        <v>75.38</v>
      </c>
      <c r="R88" s="3"/>
      <c r="S88" s="3"/>
    </row>
    <row r="89" spans="1:19" ht="69.900000000000006" customHeight="1" x14ac:dyDescent="0.3">
      <c r="A89" s="3" t="s">
        <v>739</v>
      </c>
      <c r="B89" s="3" t="s">
        <v>740</v>
      </c>
      <c r="C89" s="3" t="s">
        <v>741</v>
      </c>
      <c r="D89" s="3" t="s">
        <v>742</v>
      </c>
      <c r="E89" s="3" t="s">
        <v>293</v>
      </c>
      <c r="F89" s="3" t="s">
        <v>743</v>
      </c>
      <c r="G89" s="3" t="s">
        <v>67</v>
      </c>
      <c r="H89" s="15" t="s">
        <v>374</v>
      </c>
      <c r="I89" s="4">
        <v>94461519789</v>
      </c>
      <c r="J89" s="4">
        <v>0</v>
      </c>
      <c r="K89" s="4">
        <v>94461519789</v>
      </c>
      <c r="L89" s="13">
        <v>45290</v>
      </c>
      <c r="M89" s="13"/>
      <c r="N89" s="13">
        <v>45369</v>
      </c>
      <c r="O89" s="13">
        <v>45539</v>
      </c>
      <c r="P89" s="4">
        <v>77.47</v>
      </c>
      <c r="Q89" s="4">
        <v>92.23</v>
      </c>
      <c r="R89" s="3"/>
      <c r="S89" s="3"/>
    </row>
    <row r="90" spans="1:19" ht="69.900000000000006" customHeight="1" x14ac:dyDescent="0.3">
      <c r="A90" s="3" t="s">
        <v>744</v>
      </c>
      <c r="B90" s="3" t="s">
        <v>560</v>
      </c>
      <c r="C90" s="3" t="s">
        <v>745</v>
      </c>
      <c r="D90" s="3" t="s">
        <v>746</v>
      </c>
      <c r="E90" s="3" t="s">
        <v>65</v>
      </c>
      <c r="F90" s="3" t="s">
        <v>747</v>
      </c>
      <c r="G90" s="3" t="s">
        <v>67</v>
      </c>
      <c r="H90" s="3" t="s">
        <v>374</v>
      </c>
      <c r="I90" s="4">
        <v>3362968761</v>
      </c>
      <c r="J90" s="4">
        <v>1180580884</v>
      </c>
      <c r="K90" s="4">
        <v>4543549645</v>
      </c>
      <c r="L90" s="13">
        <v>45596</v>
      </c>
      <c r="M90" s="13"/>
      <c r="N90" s="13">
        <v>45649</v>
      </c>
      <c r="O90" s="13">
        <v>45721</v>
      </c>
      <c r="P90" s="4">
        <v>23.04</v>
      </c>
      <c r="Q90" s="4">
        <v>22.96</v>
      </c>
      <c r="R90" s="3"/>
      <c r="S90" s="3"/>
    </row>
    <row r="91" spans="1:19" ht="109.5" customHeight="1" x14ac:dyDescent="0.3">
      <c r="A91" s="3" t="s">
        <v>748</v>
      </c>
      <c r="B91" s="3" t="s">
        <v>641</v>
      </c>
      <c r="C91" s="3" t="s">
        <v>749</v>
      </c>
      <c r="D91" s="3" t="s">
        <v>750</v>
      </c>
      <c r="E91" s="3" t="s">
        <v>65</v>
      </c>
      <c r="F91" s="3" t="s">
        <v>95</v>
      </c>
      <c r="G91" s="3" t="s">
        <v>67</v>
      </c>
      <c r="H91" s="3" t="s">
        <v>374</v>
      </c>
      <c r="I91" s="4">
        <v>23600000000</v>
      </c>
      <c r="J91" s="4">
        <v>918488200</v>
      </c>
      <c r="K91" s="4">
        <v>24518488200</v>
      </c>
      <c r="L91" s="13">
        <v>45861</v>
      </c>
      <c r="M91" s="13"/>
      <c r="N91" s="13">
        <v>45916</v>
      </c>
      <c r="O91" s="13">
        <v>45965</v>
      </c>
      <c r="P91" s="4">
        <v>0.01</v>
      </c>
      <c r="Q91" s="4">
        <v>0</v>
      </c>
      <c r="R91" s="3"/>
      <c r="S91" s="3"/>
    </row>
    <row r="92" spans="1:19" ht="69.900000000000006" customHeight="1" x14ac:dyDescent="0.3">
      <c r="A92" s="3" t="s">
        <v>751</v>
      </c>
      <c r="B92" s="3" t="s">
        <v>478</v>
      </c>
      <c r="C92" s="3" t="s">
        <v>752</v>
      </c>
      <c r="D92" s="3" t="s">
        <v>753</v>
      </c>
      <c r="E92" s="3" t="s">
        <v>65</v>
      </c>
      <c r="F92" s="3" t="s">
        <v>170</v>
      </c>
      <c r="G92" s="3" t="s">
        <v>67</v>
      </c>
      <c r="H92" s="3" t="s">
        <v>374</v>
      </c>
      <c r="I92" s="4">
        <v>30000000000</v>
      </c>
      <c r="J92" s="4">
        <v>1068885740</v>
      </c>
      <c r="K92" s="4">
        <v>31068885740</v>
      </c>
      <c r="L92" s="13">
        <v>45861</v>
      </c>
      <c r="M92" s="13"/>
      <c r="N92" s="13">
        <v>45904</v>
      </c>
      <c r="O92" s="13">
        <v>45976</v>
      </c>
      <c r="P92" s="4">
        <v>2.39</v>
      </c>
      <c r="Q92" s="4">
        <v>1.17</v>
      </c>
      <c r="R92" s="3"/>
      <c r="S92" s="3"/>
    </row>
    <row r="93" spans="1:19" ht="69.900000000000006" customHeight="1" x14ac:dyDescent="0.3">
      <c r="A93" s="3" t="s">
        <v>754</v>
      </c>
      <c r="B93" s="3" t="s">
        <v>568</v>
      </c>
      <c r="C93" s="3" t="s">
        <v>755</v>
      </c>
      <c r="D93" s="3"/>
      <c r="E93" s="3" t="s">
        <v>65</v>
      </c>
      <c r="F93" s="3" t="s">
        <v>170</v>
      </c>
      <c r="G93" s="3" t="s">
        <v>67</v>
      </c>
      <c r="H93" s="3" t="s">
        <v>374</v>
      </c>
      <c r="I93" s="4">
        <v>30000000000</v>
      </c>
      <c r="J93" s="4">
        <v>899136874.04999924</v>
      </c>
      <c r="K93" s="4">
        <v>30899136874.049999</v>
      </c>
      <c r="L93" s="13">
        <v>45861</v>
      </c>
      <c r="M93" s="13"/>
      <c r="N93" s="13">
        <v>45926</v>
      </c>
      <c r="O93" s="13">
        <v>45980</v>
      </c>
      <c r="P93" s="4">
        <v>8.8000000000000007</v>
      </c>
      <c r="Q93" s="4">
        <v>10.53</v>
      </c>
      <c r="R93" s="3"/>
      <c r="S93" s="3"/>
    </row>
    <row r="94" spans="1:19" ht="69.900000000000006" customHeight="1" x14ac:dyDescent="0.3">
      <c r="A94" s="3" t="s">
        <v>756</v>
      </c>
      <c r="B94" s="3" t="s">
        <v>757</v>
      </c>
      <c r="C94" s="3" t="s">
        <v>758</v>
      </c>
      <c r="D94" s="3"/>
      <c r="E94" s="3" t="s">
        <v>186</v>
      </c>
      <c r="F94" s="3" t="s">
        <v>189</v>
      </c>
      <c r="G94" s="3" t="s">
        <v>67</v>
      </c>
      <c r="H94" s="15" t="s">
        <v>374</v>
      </c>
      <c r="I94" s="4">
        <v>172253454</v>
      </c>
      <c r="J94" s="4">
        <v>0</v>
      </c>
      <c r="K94" s="4">
        <v>172253454</v>
      </c>
      <c r="L94" s="13">
        <v>45715</v>
      </c>
      <c r="M94" s="13"/>
      <c r="N94" s="13">
        <v>46008</v>
      </c>
      <c r="O94" s="13">
        <v>46014</v>
      </c>
      <c r="P94" s="4">
        <v>100</v>
      </c>
      <c r="Q94" s="4">
        <v>90</v>
      </c>
      <c r="R94" s="3"/>
      <c r="S94" s="3"/>
    </row>
    <row r="95" spans="1:19" ht="69.900000000000006" customHeight="1" x14ac:dyDescent="0.3">
      <c r="A95" s="3" t="s">
        <v>759</v>
      </c>
      <c r="B95" s="3" t="s">
        <v>760</v>
      </c>
      <c r="C95" s="3" t="s">
        <v>761</v>
      </c>
      <c r="D95" s="3" t="s">
        <v>762</v>
      </c>
      <c r="E95" s="3" t="s">
        <v>186</v>
      </c>
      <c r="F95" s="3" t="s">
        <v>189</v>
      </c>
      <c r="G95" s="3" t="s">
        <v>67</v>
      </c>
      <c r="H95" s="16" t="s">
        <v>379</v>
      </c>
      <c r="I95" s="4">
        <v>511865531</v>
      </c>
      <c r="J95" s="4">
        <v>200000000</v>
      </c>
      <c r="K95" s="4">
        <v>711865531</v>
      </c>
      <c r="L95" s="13">
        <v>45756</v>
      </c>
      <c r="M95" s="13"/>
      <c r="N95" s="13">
        <v>45775</v>
      </c>
      <c r="O95" s="13">
        <v>45922</v>
      </c>
      <c r="P95" s="4">
        <v>79.33</v>
      </c>
      <c r="Q95" s="4">
        <v>69.88</v>
      </c>
      <c r="R95" s="3"/>
      <c r="S95" s="3"/>
    </row>
    <row r="96" spans="1:19" ht="80.25" customHeight="1" x14ac:dyDescent="0.3">
      <c r="A96" s="3" t="s">
        <v>763</v>
      </c>
      <c r="B96" s="3" t="s">
        <v>764</v>
      </c>
      <c r="C96" s="3" t="s">
        <v>765</v>
      </c>
      <c r="D96" s="3"/>
      <c r="E96" s="3" t="s">
        <v>238</v>
      </c>
      <c r="F96" s="3" t="s">
        <v>189</v>
      </c>
      <c r="G96" s="3" t="s">
        <v>284</v>
      </c>
      <c r="H96" s="15" t="s">
        <v>419</v>
      </c>
      <c r="I96" s="4">
        <v>386045990.94</v>
      </c>
      <c r="J96" s="4">
        <v>200000000.00000009</v>
      </c>
      <c r="K96" s="4">
        <v>586045990.94000006</v>
      </c>
      <c r="L96" s="13">
        <v>45917</v>
      </c>
      <c r="M96" s="13"/>
      <c r="N96" s="13">
        <v>45938</v>
      </c>
      <c r="O96" s="13"/>
      <c r="P96" s="4">
        <v>0</v>
      </c>
      <c r="Q96" s="4">
        <v>0</v>
      </c>
      <c r="R96" s="3"/>
      <c r="S96" s="3"/>
    </row>
    <row r="97" spans="1:19" ht="69.900000000000006" customHeight="1" x14ac:dyDescent="0.3">
      <c r="A97" s="3" t="s">
        <v>766</v>
      </c>
      <c r="B97" s="3" t="s">
        <v>767</v>
      </c>
      <c r="C97" s="3" t="s">
        <v>768</v>
      </c>
      <c r="D97" s="3" t="s">
        <v>769</v>
      </c>
      <c r="E97" s="3" t="s">
        <v>86</v>
      </c>
      <c r="F97" s="3" t="s">
        <v>89</v>
      </c>
      <c r="G97" s="3" t="s">
        <v>67</v>
      </c>
      <c r="H97" s="15" t="s">
        <v>374</v>
      </c>
      <c r="I97" s="4">
        <v>59900815918</v>
      </c>
      <c r="J97" s="4">
        <v>0</v>
      </c>
      <c r="K97" s="4">
        <v>59900815918</v>
      </c>
      <c r="L97" s="13">
        <v>45911</v>
      </c>
      <c r="M97" s="13"/>
      <c r="N97" s="13">
        <v>45922</v>
      </c>
      <c r="O97" s="13">
        <v>45974</v>
      </c>
      <c r="P97" s="4">
        <v>0.39</v>
      </c>
      <c r="Q97" s="4">
        <v>24.54</v>
      </c>
      <c r="R97" s="3"/>
      <c r="S97" s="3"/>
    </row>
    <row r="98" spans="1:19" ht="69.900000000000006" customHeight="1" x14ac:dyDescent="0.3">
      <c r="A98" s="3" t="s">
        <v>770</v>
      </c>
      <c r="B98" s="3" t="s">
        <v>490</v>
      </c>
      <c r="C98" s="3" t="s">
        <v>771</v>
      </c>
      <c r="D98" s="3" t="s">
        <v>772</v>
      </c>
      <c r="E98" s="3" t="s">
        <v>293</v>
      </c>
      <c r="F98" s="3" t="s">
        <v>773</v>
      </c>
      <c r="G98" s="3" t="s">
        <v>67</v>
      </c>
      <c r="H98" s="15" t="s">
        <v>374</v>
      </c>
      <c r="I98" s="4">
        <v>28121067144</v>
      </c>
      <c r="J98" s="4">
        <v>142000000</v>
      </c>
      <c r="K98" s="4">
        <v>28263067144</v>
      </c>
      <c r="L98" s="13">
        <v>45861</v>
      </c>
      <c r="M98" s="13"/>
      <c r="N98" s="13">
        <v>45882</v>
      </c>
      <c r="O98" s="13">
        <v>45926</v>
      </c>
      <c r="P98" s="4">
        <v>7.97</v>
      </c>
      <c r="Q98" s="4">
        <v>27.96</v>
      </c>
      <c r="R98" s="3"/>
      <c r="S98" s="3"/>
    </row>
    <row r="99" spans="1:19" ht="69.900000000000006" customHeight="1" x14ac:dyDescent="0.3">
      <c r="A99" s="3" t="s">
        <v>774</v>
      </c>
      <c r="B99" s="3" t="s">
        <v>560</v>
      </c>
      <c r="C99" s="3" t="s">
        <v>775</v>
      </c>
      <c r="D99" s="3" t="s">
        <v>776</v>
      </c>
      <c r="E99" s="3" t="s">
        <v>65</v>
      </c>
      <c r="F99" s="3" t="s">
        <v>95</v>
      </c>
      <c r="G99" s="3" t="s">
        <v>181</v>
      </c>
      <c r="H99" s="3" t="s">
        <v>423</v>
      </c>
      <c r="I99" s="4">
        <v>1989520159</v>
      </c>
      <c r="J99" s="4">
        <v>835888647</v>
      </c>
      <c r="K99" s="4">
        <v>2825408806</v>
      </c>
      <c r="L99" s="13">
        <v>44078</v>
      </c>
      <c r="M99" s="13"/>
      <c r="N99" s="13">
        <v>44176</v>
      </c>
      <c r="O99" s="13"/>
      <c r="P99" s="4">
        <v>98.57</v>
      </c>
      <c r="Q99" s="4">
        <v>98.93</v>
      </c>
      <c r="R99" s="3"/>
      <c r="S99" s="3"/>
    </row>
    <row r="100" spans="1:19" ht="69.900000000000006" customHeight="1" x14ac:dyDescent="0.3">
      <c r="A100" s="3" t="s">
        <v>777</v>
      </c>
      <c r="B100" s="3" t="s">
        <v>778</v>
      </c>
      <c r="C100" s="3" t="s">
        <v>779</v>
      </c>
      <c r="D100" s="3" t="s">
        <v>780</v>
      </c>
      <c r="E100" s="3" t="s">
        <v>65</v>
      </c>
      <c r="F100" s="3" t="s">
        <v>95</v>
      </c>
      <c r="G100" s="3" t="s">
        <v>181</v>
      </c>
      <c r="H100" s="3" t="s">
        <v>423</v>
      </c>
      <c r="I100" s="4">
        <v>4869404585</v>
      </c>
      <c r="J100" s="4">
        <v>170383404</v>
      </c>
      <c r="K100" s="4">
        <v>5039787989</v>
      </c>
      <c r="L100" s="13">
        <v>44384</v>
      </c>
      <c r="M100" s="13"/>
      <c r="N100" s="13">
        <v>44407</v>
      </c>
      <c r="O100" s="13">
        <v>44560</v>
      </c>
      <c r="P100" s="4">
        <v>100</v>
      </c>
      <c r="Q100" s="4">
        <v>99.22</v>
      </c>
      <c r="R100" s="3"/>
      <c r="S100" s="3"/>
    </row>
    <row r="101" spans="1:19" ht="69.900000000000006" customHeight="1" x14ac:dyDescent="0.3">
      <c r="A101" s="3" t="s">
        <v>781</v>
      </c>
      <c r="B101" s="3" t="s">
        <v>469</v>
      </c>
      <c r="C101" s="3" t="s">
        <v>782</v>
      </c>
      <c r="D101" s="3" t="s">
        <v>783</v>
      </c>
      <c r="E101" s="3" t="s">
        <v>86</v>
      </c>
      <c r="F101" s="3" t="s">
        <v>784</v>
      </c>
      <c r="G101" s="3" t="s">
        <v>181</v>
      </c>
      <c r="H101" s="3" t="s">
        <v>423</v>
      </c>
      <c r="I101" s="4">
        <v>2644584337.2600002</v>
      </c>
      <c r="J101" s="4">
        <v>0</v>
      </c>
      <c r="K101" s="4">
        <v>2644584337.2600002</v>
      </c>
      <c r="L101" s="13">
        <v>44456</v>
      </c>
      <c r="M101" s="13"/>
      <c r="N101" s="13">
        <v>44489</v>
      </c>
      <c r="O101" s="13">
        <v>44859</v>
      </c>
      <c r="P101" s="4">
        <v>100</v>
      </c>
      <c r="Q101" s="4">
        <v>99.98</v>
      </c>
      <c r="R101" s="3"/>
      <c r="S101" s="3"/>
    </row>
    <row r="102" spans="1:19" ht="69.900000000000006" customHeight="1" x14ac:dyDescent="0.3">
      <c r="A102" s="3" t="s">
        <v>785</v>
      </c>
      <c r="B102" s="3" t="s">
        <v>428</v>
      </c>
      <c r="C102" s="3" t="s">
        <v>786</v>
      </c>
      <c r="D102" s="3" t="s">
        <v>787</v>
      </c>
      <c r="E102" s="3" t="s">
        <v>86</v>
      </c>
      <c r="F102" s="3" t="s">
        <v>788</v>
      </c>
      <c r="G102" s="3" t="s">
        <v>181</v>
      </c>
      <c r="H102" s="3" t="s">
        <v>423</v>
      </c>
      <c r="I102" s="4">
        <v>6578630543.6700001</v>
      </c>
      <c r="J102" s="4">
        <v>0</v>
      </c>
      <c r="K102" s="4">
        <v>6578630543.6700001</v>
      </c>
      <c r="L102" s="13">
        <v>44559</v>
      </c>
      <c r="M102" s="13"/>
      <c r="N102" s="13">
        <v>44566</v>
      </c>
      <c r="O102" s="13">
        <v>44697</v>
      </c>
      <c r="P102" s="4">
        <v>100</v>
      </c>
      <c r="Q102" s="4">
        <v>100</v>
      </c>
      <c r="R102" s="3"/>
      <c r="S102" s="3"/>
    </row>
    <row r="103" spans="1:19" ht="69.900000000000006" customHeight="1" x14ac:dyDescent="0.3">
      <c r="A103" s="3" t="s">
        <v>789</v>
      </c>
      <c r="B103" s="3" t="s">
        <v>760</v>
      </c>
      <c r="C103" s="3" t="s">
        <v>790</v>
      </c>
      <c r="D103" s="3" t="s">
        <v>791</v>
      </c>
      <c r="E103" s="3" t="s">
        <v>86</v>
      </c>
      <c r="F103" s="3" t="s">
        <v>89</v>
      </c>
      <c r="G103" s="3" t="s">
        <v>181</v>
      </c>
      <c r="H103" s="3" t="s">
        <v>423</v>
      </c>
      <c r="I103" s="4">
        <v>6853127845.6300001</v>
      </c>
      <c r="J103" s="4">
        <v>0</v>
      </c>
      <c r="K103" s="4">
        <v>6853127845.6300001</v>
      </c>
      <c r="L103" s="13">
        <v>45216</v>
      </c>
      <c r="M103" s="13"/>
      <c r="N103" s="13">
        <v>45219</v>
      </c>
      <c r="O103" s="13">
        <v>45286</v>
      </c>
      <c r="P103" s="4">
        <v>100</v>
      </c>
      <c r="Q103" s="4">
        <v>99.99</v>
      </c>
      <c r="R103" s="3"/>
      <c r="S103" s="3"/>
    </row>
    <row r="104" spans="1:19" ht="69.900000000000006" customHeight="1" x14ac:dyDescent="0.3">
      <c r="A104" s="3" t="s">
        <v>792</v>
      </c>
      <c r="B104" s="3" t="s">
        <v>767</v>
      </c>
      <c r="C104" s="3" t="s">
        <v>793</v>
      </c>
      <c r="D104" s="3"/>
      <c r="E104" s="3" t="s">
        <v>86</v>
      </c>
      <c r="F104" s="3" t="s">
        <v>794</v>
      </c>
      <c r="G104" s="3" t="s">
        <v>795</v>
      </c>
      <c r="H104" s="14" t="s">
        <v>419</v>
      </c>
      <c r="I104" s="4">
        <v>36139210439</v>
      </c>
      <c r="J104" s="4">
        <v>0</v>
      </c>
      <c r="K104" s="4">
        <v>36139210439</v>
      </c>
      <c r="L104" s="13">
        <v>46080</v>
      </c>
      <c r="M104" s="13"/>
      <c r="N104" s="13">
        <v>46091</v>
      </c>
      <c r="O104" s="13"/>
      <c r="P104" s="4">
        <v>0</v>
      </c>
      <c r="Q104" s="4">
        <v>0</v>
      </c>
      <c r="R104" s="3"/>
      <c r="S104" s="3"/>
    </row>
  </sheetData>
  <mergeCells count="1">
    <mergeCell ref="A1:R1"/>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FBB85-2D98-496C-B6F9-B97709FF1963}">
  <dimension ref="A1"/>
  <sheetViews>
    <sheetView workbookViewId="0"/>
  </sheetViews>
  <sheetFormatPr baseColWidth="10" defaultRowHeight="14.4" x14ac:dyDescent="0.3"/>
  <cols>
    <col min="1" max="1" width="39.109375"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3B4A3-77F6-4187-8934-049461B53414}">
  <dimension ref="A1:C175"/>
  <sheetViews>
    <sheetView topLeftCell="A3" workbookViewId="0">
      <selection activeCell="C7" sqref="C7"/>
    </sheetView>
  </sheetViews>
  <sheetFormatPr baseColWidth="10" defaultRowHeight="14.4" x14ac:dyDescent="0.3"/>
  <cols>
    <col min="1" max="1" width="33.109375" customWidth="1"/>
    <col min="3" max="3" width="27.44140625" customWidth="1"/>
  </cols>
  <sheetData>
    <row r="1" spans="1:3" x14ac:dyDescent="0.3">
      <c r="A1" t="s">
        <v>3</v>
      </c>
      <c r="C1" t="s">
        <v>3</v>
      </c>
    </row>
    <row r="2" spans="1:3" x14ac:dyDescent="0.3">
      <c r="A2" s="8">
        <v>2012000020042</v>
      </c>
      <c r="C2" s="3" t="s">
        <v>51</v>
      </c>
    </row>
    <row r="3" spans="1:3" x14ac:dyDescent="0.3">
      <c r="A3" s="8">
        <v>2012002700005</v>
      </c>
      <c r="C3" s="3" t="s">
        <v>61</v>
      </c>
    </row>
    <row r="4" spans="1:3" x14ac:dyDescent="0.3">
      <c r="A4" s="3" t="s">
        <v>427</v>
      </c>
      <c r="C4" s="3" t="s">
        <v>71</v>
      </c>
    </row>
    <row r="5" spans="1:3" x14ac:dyDescent="0.3">
      <c r="A5" s="3" t="s">
        <v>431</v>
      </c>
      <c r="C5" s="8">
        <v>2013000100074</v>
      </c>
    </row>
    <row r="6" spans="1:3" x14ac:dyDescent="0.3">
      <c r="A6" s="3" t="s">
        <v>435</v>
      </c>
      <c r="C6" s="3" t="s">
        <v>82</v>
      </c>
    </row>
    <row r="7" spans="1:3" x14ac:dyDescent="0.3">
      <c r="A7" s="3" t="s">
        <v>439</v>
      </c>
      <c r="C7" s="3" t="s">
        <v>90</v>
      </c>
    </row>
    <row r="8" spans="1:3" x14ac:dyDescent="0.3">
      <c r="A8" s="3" t="s">
        <v>443</v>
      </c>
      <c r="C8" s="3" t="s">
        <v>97</v>
      </c>
    </row>
    <row r="9" spans="1:3" x14ac:dyDescent="0.3">
      <c r="A9" s="3" t="s">
        <v>448</v>
      </c>
      <c r="C9" s="3" t="s">
        <v>103</v>
      </c>
    </row>
    <row r="10" spans="1:3" x14ac:dyDescent="0.3">
      <c r="A10" s="3" t="s">
        <v>453</v>
      </c>
      <c r="C10" s="3" t="s">
        <v>108</v>
      </c>
    </row>
    <row r="11" spans="1:3" x14ac:dyDescent="0.3">
      <c r="A11" s="3" t="s">
        <v>457</v>
      </c>
      <c r="C11" s="3" t="s">
        <v>112</v>
      </c>
    </row>
    <row r="12" spans="1:3" x14ac:dyDescent="0.3">
      <c r="A12" s="3" t="s">
        <v>462</v>
      </c>
      <c r="C12" s="3" t="s">
        <v>120</v>
      </c>
    </row>
    <row r="13" spans="1:3" x14ac:dyDescent="0.3">
      <c r="A13" s="3" t="s">
        <v>468</v>
      </c>
      <c r="C13" s="3" t="s">
        <v>129</v>
      </c>
    </row>
    <row r="14" spans="1:3" x14ac:dyDescent="0.3">
      <c r="A14" s="3" t="s">
        <v>473</v>
      </c>
      <c r="C14" s="3" t="s">
        <v>133</v>
      </c>
    </row>
    <row r="15" spans="1:3" x14ac:dyDescent="0.3">
      <c r="A15" s="3" t="s">
        <v>477</v>
      </c>
      <c r="C15" s="3" t="s">
        <v>138</v>
      </c>
    </row>
    <row r="16" spans="1:3" x14ac:dyDescent="0.3">
      <c r="A16" s="3" t="s">
        <v>481</v>
      </c>
      <c r="C16" s="3" t="s">
        <v>144</v>
      </c>
    </row>
    <row r="17" spans="1:3" x14ac:dyDescent="0.3">
      <c r="A17" s="3" t="s">
        <v>485</v>
      </c>
      <c r="C17" s="3" t="s">
        <v>150</v>
      </c>
    </row>
    <row r="18" spans="1:3" x14ac:dyDescent="0.3">
      <c r="A18" s="3" t="s">
        <v>489</v>
      </c>
      <c r="C18" s="3" t="s">
        <v>156</v>
      </c>
    </row>
    <row r="19" spans="1:3" x14ac:dyDescent="0.3">
      <c r="A19" s="3" t="s">
        <v>493</v>
      </c>
      <c r="C19" s="3" t="s">
        <v>160</v>
      </c>
    </row>
    <row r="20" spans="1:3" x14ac:dyDescent="0.3">
      <c r="A20" s="3" t="s">
        <v>497</v>
      </c>
      <c r="C20" s="3" t="s">
        <v>165</v>
      </c>
    </row>
    <row r="21" spans="1:3" x14ac:dyDescent="0.3">
      <c r="A21" s="3" t="s">
        <v>501</v>
      </c>
      <c r="C21" s="3" t="s">
        <v>172</v>
      </c>
    </row>
    <row r="22" spans="1:3" x14ac:dyDescent="0.3">
      <c r="A22" s="3" t="s">
        <v>505</v>
      </c>
      <c r="C22" s="3" t="s">
        <v>177</v>
      </c>
    </row>
    <row r="23" spans="1:3" x14ac:dyDescent="0.3">
      <c r="A23" s="3" t="s">
        <v>509</v>
      </c>
      <c r="C23" s="3" t="s">
        <v>183</v>
      </c>
    </row>
    <row r="24" spans="1:3" x14ac:dyDescent="0.3">
      <c r="A24" s="3" t="s">
        <v>513</v>
      </c>
      <c r="C24" s="3" t="s">
        <v>191</v>
      </c>
    </row>
    <row r="25" spans="1:3" x14ac:dyDescent="0.3">
      <c r="A25" s="3" t="s">
        <v>517</v>
      </c>
      <c r="C25" s="3" t="s">
        <v>196</v>
      </c>
    </row>
    <row r="26" spans="1:3" x14ac:dyDescent="0.3">
      <c r="A26" s="3" t="s">
        <v>521</v>
      </c>
      <c r="C26" s="3" t="s">
        <v>201</v>
      </c>
    </row>
    <row r="27" spans="1:3" x14ac:dyDescent="0.3">
      <c r="A27" s="3" t="s">
        <v>525</v>
      </c>
      <c r="C27" s="3" t="s">
        <v>206</v>
      </c>
    </row>
    <row r="28" spans="1:3" x14ac:dyDescent="0.3">
      <c r="A28" s="3" t="s">
        <v>530</v>
      </c>
      <c r="C28" s="3" t="s">
        <v>210</v>
      </c>
    </row>
    <row r="29" spans="1:3" x14ac:dyDescent="0.3">
      <c r="A29" s="3" t="s">
        <v>534</v>
      </c>
      <c r="C29" s="3" t="s">
        <v>214</v>
      </c>
    </row>
    <row r="30" spans="1:3" x14ac:dyDescent="0.3">
      <c r="A30" s="3" t="s">
        <v>537</v>
      </c>
      <c r="C30" s="3" t="s">
        <v>218</v>
      </c>
    </row>
    <row r="31" spans="1:3" x14ac:dyDescent="0.3">
      <c r="A31" s="3" t="s">
        <v>542</v>
      </c>
      <c r="C31" s="3" t="s">
        <v>223</v>
      </c>
    </row>
    <row r="32" spans="1:3" x14ac:dyDescent="0.3">
      <c r="A32" s="3" t="s">
        <v>545</v>
      </c>
      <c r="C32" s="3" t="s">
        <v>229</v>
      </c>
    </row>
    <row r="33" spans="1:3" x14ac:dyDescent="0.3">
      <c r="A33" s="3" t="s">
        <v>548</v>
      </c>
      <c r="C33" s="3" t="s">
        <v>235</v>
      </c>
    </row>
    <row r="34" spans="1:3" x14ac:dyDescent="0.3">
      <c r="A34" s="3" t="s">
        <v>551</v>
      </c>
      <c r="C34" s="3" t="s">
        <v>240</v>
      </c>
    </row>
    <row r="35" spans="1:3" x14ac:dyDescent="0.3">
      <c r="A35" s="3" t="s">
        <v>555</v>
      </c>
      <c r="C35" s="3" t="s">
        <v>245</v>
      </c>
    </row>
    <row r="36" spans="1:3" x14ac:dyDescent="0.3">
      <c r="A36" s="3" t="s">
        <v>559</v>
      </c>
      <c r="C36" s="3" t="s">
        <v>250</v>
      </c>
    </row>
    <row r="37" spans="1:3" x14ac:dyDescent="0.3">
      <c r="A37" s="3" t="s">
        <v>563</v>
      </c>
      <c r="C37" s="3" t="s">
        <v>254</v>
      </c>
    </row>
    <row r="38" spans="1:3" x14ac:dyDescent="0.3">
      <c r="A38" s="3" t="s">
        <v>567</v>
      </c>
      <c r="C38" s="3" t="s">
        <v>260</v>
      </c>
    </row>
    <row r="39" spans="1:3" x14ac:dyDescent="0.3">
      <c r="A39" s="3" t="s">
        <v>571</v>
      </c>
      <c r="C39" s="9" t="s">
        <v>266</v>
      </c>
    </row>
    <row r="40" spans="1:3" x14ac:dyDescent="0.3">
      <c r="A40" s="3" t="s">
        <v>575</v>
      </c>
      <c r="C40" s="3" t="s">
        <v>271</v>
      </c>
    </row>
    <row r="41" spans="1:3" x14ac:dyDescent="0.3">
      <c r="A41" s="3" t="s">
        <v>578</v>
      </c>
      <c r="C41" s="3" t="s">
        <v>276</v>
      </c>
    </row>
    <row r="42" spans="1:3" ht="26.4" x14ac:dyDescent="0.3">
      <c r="A42" s="14" t="s">
        <v>581</v>
      </c>
      <c r="C42" s="3" t="s">
        <v>280</v>
      </c>
    </row>
    <row r="43" spans="1:3" x14ac:dyDescent="0.3">
      <c r="A43" s="3" t="s">
        <v>584</v>
      </c>
      <c r="C43" s="3" t="s">
        <v>285</v>
      </c>
    </row>
    <row r="44" spans="1:3" x14ac:dyDescent="0.3">
      <c r="A44" s="3" t="s">
        <v>587</v>
      </c>
      <c r="C44" s="3" t="s">
        <v>290</v>
      </c>
    </row>
    <row r="45" spans="1:3" x14ac:dyDescent="0.3">
      <c r="A45" s="3" t="s">
        <v>591</v>
      </c>
      <c r="C45" s="3" t="s">
        <v>298</v>
      </c>
    </row>
    <row r="46" spans="1:3" x14ac:dyDescent="0.3">
      <c r="A46" s="3" t="s">
        <v>595</v>
      </c>
      <c r="C46" s="3" t="s">
        <v>305</v>
      </c>
    </row>
    <row r="47" spans="1:3" x14ac:dyDescent="0.3">
      <c r="A47" s="3" t="s">
        <v>598</v>
      </c>
      <c r="C47" s="35" t="s">
        <v>839</v>
      </c>
    </row>
    <row r="48" spans="1:3" x14ac:dyDescent="0.3">
      <c r="A48" s="3" t="s">
        <v>602</v>
      </c>
      <c r="C48" s="3" t="s">
        <v>310</v>
      </c>
    </row>
    <row r="49" spans="1:3" x14ac:dyDescent="0.3">
      <c r="A49" s="3" t="s">
        <v>605</v>
      </c>
      <c r="C49" s="3" t="s">
        <v>315</v>
      </c>
    </row>
    <row r="50" spans="1:3" x14ac:dyDescent="0.3">
      <c r="A50" s="3" t="s">
        <v>608</v>
      </c>
      <c r="C50" s="12" t="s">
        <v>320</v>
      </c>
    </row>
    <row r="51" spans="1:3" x14ac:dyDescent="0.3">
      <c r="A51" s="3" t="s">
        <v>612</v>
      </c>
      <c r="C51" s="12" t="s">
        <v>323</v>
      </c>
    </row>
    <row r="52" spans="1:3" x14ac:dyDescent="0.3">
      <c r="A52" s="3" t="s">
        <v>615</v>
      </c>
      <c r="C52" s="12" t="s">
        <v>328</v>
      </c>
    </row>
    <row r="53" spans="1:3" x14ac:dyDescent="0.3">
      <c r="A53" s="3" t="s">
        <v>618</v>
      </c>
      <c r="C53" s="12" t="s">
        <v>332</v>
      </c>
    </row>
    <row r="54" spans="1:3" x14ac:dyDescent="0.3">
      <c r="A54" s="3" t="s">
        <v>621</v>
      </c>
      <c r="C54" s="12" t="s">
        <v>336</v>
      </c>
    </row>
    <row r="55" spans="1:3" x14ac:dyDescent="0.3">
      <c r="A55" s="3" t="s">
        <v>624</v>
      </c>
      <c r="C55" s="12" t="s">
        <v>341</v>
      </c>
    </row>
    <row r="56" spans="1:3" x14ac:dyDescent="0.3">
      <c r="A56" s="3" t="s">
        <v>627</v>
      </c>
      <c r="C56" s="12" t="s">
        <v>346</v>
      </c>
    </row>
    <row r="57" spans="1:3" x14ac:dyDescent="0.3">
      <c r="A57" s="3" t="s">
        <v>631</v>
      </c>
      <c r="C57" s="21">
        <v>2026002700001</v>
      </c>
    </row>
    <row r="58" spans="1:3" x14ac:dyDescent="0.3">
      <c r="A58" s="3" t="s">
        <v>634</v>
      </c>
    </row>
    <row r="59" spans="1:3" x14ac:dyDescent="0.3">
      <c r="A59" s="3" t="s">
        <v>637</v>
      </c>
    </row>
    <row r="60" spans="1:3" x14ac:dyDescent="0.3">
      <c r="A60" s="3" t="s">
        <v>640</v>
      </c>
    </row>
    <row r="61" spans="1:3" x14ac:dyDescent="0.3">
      <c r="A61" s="3" t="s">
        <v>644</v>
      </c>
    </row>
    <row r="62" spans="1:3" x14ac:dyDescent="0.3">
      <c r="A62" s="3" t="s">
        <v>647</v>
      </c>
    </row>
    <row r="63" spans="1:3" x14ac:dyDescent="0.3">
      <c r="A63" s="3" t="s">
        <v>651</v>
      </c>
    </row>
    <row r="64" spans="1:3" x14ac:dyDescent="0.3">
      <c r="A64" s="3" t="s">
        <v>655</v>
      </c>
    </row>
    <row r="65" spans="1:1" x14ac:dyDescent="0.3">
      <c r="A65" s="3" t="s">
        <v>658</v>
      </c>
    </row>
    <row r="66" spans="1:1" x14ac:dyDescent="0.3">
      <c r="A66" s="3" t="s">
        <v>661</v>
      </c>
    </row>
    <row r="67" spans="1:1" x14ac:dyDescent="0.3">
      <c r="A67" s="3" t="s">
        <v>664</v>
      </c>
    </row>
    <row r="68" spans="1:1" x14ac:dyDescent="0.3">
      <c r="A68" s="3" t="s">
        <v>667</v>
      </c>
    </row>
    <row r="69" spans="1:1" x14ac:dyDescent="0.3">
      <c r="A69" s="3" t="s">
        <v>670</v>
      </c>
    </row>
    <row r="70" spans="1:1" x14ac:dyDescent="0.3">
      <c r="A70" s="3" t="s">
        <v>674</v>
      </c>
    </row>
    <row r="71" spans="1:1" x14ac:dyDescent="0.3">
      <c r="A71" s="3" t="s">
        <v>677</v>
      </c>
    </row>
    <row r="72" spans="1:1" x14ac:dyDescent="0.3">
      <c r="A72" s="3" t="s">
        <v>681</v>
      </c>
    </row>
    <row r="73" spans="1:1" x14ac:dyDescent="0.3">
      <c r="A73" s="3" t="s">
        <v>684</v>
      </c>
    </row>
    <row r="74" spans="1:1" x14ac:dyDescent="0.3">
      <c r="A74" s="3" t="s">
        <v>687</v>
      </c>
    </row>
    <row r="75" spans="1:1" x14ac:dyDescent="0.3">
      <c r="A75" s="3" t="s">
        <v>690</v>
      </c>
    </row>
    <row r="76" spans="1:1" x14ac:dyDescent="0.3">
      <c r="A76" s="14" t="s">
        <v>693</v>
      </c>
    </row>
    <row r="77" spans="1:1" x14ac:dyDescent="0.3">
      <c r="A77" s="3" t="s">
        <v>697</v>
      </c>
    </row>
    <row r="78" spans="1:1" x14ac:dyDescent="0.3">
      <c r="A78" s="3" t="s">
        <v>701</v>
      </c>
    </row>
    <row r="79" spans="1:1" x14ac:dyDescent="0.3">
      <c r="A79" s="3" t="s">
        <v>705</v>
      </c>
    </row>
    <row r="80" spans="1:1" x14ac:dyDescent="0.3">
      <c r="A80" s="3" t="s">
        <v>709</v>
      </c>
    </row>
    <row r="81" spans="1:1" x14ac:dyDescent="0.3">
      <c r="A81" s="3" t="s">
        <v>712</v>
      </c>
    </row>
    <row r="82" spans="1:1" x14ac:dyDescent="0.3">
      <c r="A82" s="3" t="s">
        <v>715</v>
      </c>
    </row>
    <row r="83" spans="1:1" x14ac:dyDescent="0.3">
      <c r="A83" s="3" t="s">
        <v>719</v>
      </c>
    </row>
    <row r="84" spans="1:1" x14ac:dyDescent="0.3">
      <c r="A84" s="3" t="s">
        <v>723</v>
      </c>
    </row>
    <row r="85" spans="1:1" x14ac:dyDescent="0.3">
      <c r="A85" s="3" t="s">
        <v>727</v>
      </c>
    </row>
    <row r="86" spans="1:1" x14ac:dyDescent="0.3">
      <c r="A86" s="3" t="s">
        <v>731</v>
      </c>
    </row>
    <row r="87" spans="1:1" x14ac:dyDescent="0.3">
      <c r="A87" s="3" t="s">
        <v>735</v>
      </c>
    </row>
    <row r="88" spans="1:1" x14ac:dyDescent="0.3">
      <c r="A88" s="3" t="s">
        <v>739</v>
      </c>
    </row>
    <row r="89" spans="1:1" x14ac:dyDescent="0.3">
      <c r="A89" s="3" t="s">
        <v>744</v>
      </c>
    </row>
    <row r="90" spans="1:1" x14ac:dyDescent="0.3">
      <c r="A90" s="3" t="s">
        <v>748</v>
      </c>
    </row>
    <row r="91" spans="1:1" x14ac:dyDescent="0.3">
      <c r="A91" s="3" t="s">
        <v>751</v>
      </c>
    </row>
    <row r="92" spans="1:1" x14ac:dyDescent="0.3">
      <c r="A92" s="3" t="s">
        <v>754</v>
      </c>
    </row>
    <row r="93" spans="1:1" x14ac:dyDescent="0.3">
      <c r="A93" s="3" t="s">
        <v>756</v>
      </c>
    </row>
    <row r="94" spans="1:1" x14ac:dyDescent="0.3">
      <c r="A94" s="3" t="s">
        <v>759</v>
      </c>
    </row>
    <row r="95" spans="1:1" x14ac:dyDescent="0.3">
      <c r="A95" s="3" t="s">
        <v>763</v>
      </c>
    </row>
    <row r="96" spans="1:1" x14ac:dyDescent="0.3">
      <c r="A96" s="3" t="s">
        <v>766</v>
      </c>
    </row>
    <row r="97" spans="1:1" x14ac:dyDescent="0.3">
      <c r="A97" s="3" t="s">
        <v>770</v>
      </c>
    </row>
    <row r="98" spans="1:1" x14ac:dyDescent="0.3">
      <c r="A98" s="3" t="s">
        <v>774</v>
      </c>
    </row>
    <row r="99" spans="1:1" x14ac:dyDescent="0.3">
      <c r="A99" s="3" t="s">
        <v>777</v>
      </c>
    </row>
    <row r="100" spans="1:1" x14ac:dyDescent="0.3">
      <c r="A100" s="3" t="s">
        <v>781</v>
      </c>
    </row>
    <row r="101" spans="1:1" x14ac:dyDescent="0.3">
      <c r="A101" s="3" t="s">
        <v>785</v>
      </c>
    </row>
    <row r="102" spans="1:1" x14ac:dyDescent="0.3">
      <c r="A102" s="3" t="s">
        <v>789</v>
      </c>
    </row>
    <row r="103" spans="1:1" x14ac:dyDescent="0.3">
      <c r="A103" s="3" t="s">
        <v>792</v>
      </c>
    </row>
    <row r="104" spans="1:1" x14ac:dyDescent="0.3">
      <c r="A104" s="3" t="s">
        <v>545</v>
      </c>
    </row>
    <row r="105" spans="1:1" x14ac:dyDescent="0.3">
      <c r="A105" s="3" t="s">
        <v>548</v>
      </c>
    </row>
    <row r="106" spans="1:1" x14ac:dyDescent="0.3">
      <c r="A106" s="3" t="s">
        <v>551</v>
      </c>
    </row>
    <row r="107" spans="1:1" x14ac:dyDescent="0.3">
      <c r="A107" s="3" t="s">
        <v>555</v>
      </c>
    </row>
    <row r="108" spans="1:1" x14ac:dyDescent="0.3">
      <c r="A108" s="3" t="s">
        <v>559</v>
      </c>
    </row>
    <row r="109" spans="1:1" x14ac:dyDescent="0.3">
      <c r="A109" s="3" t="s">
        <v>563</v>
      </c>
    </row>
    <row r="110" spans="1:1" x14ac:dyDescent="0.3">
      <c r="A110" s="3" t="s">
        <v>567</v>
      </c>
    </row>
    <row r="111" spans="1:1" x14ac:dyDescent="0.3">
      <c r="A111" s="3" t="s">
        <v>571</v>
      </c>
    </row>
    <row r="112" spans="1:1" x14ac:dyDescent="0.3">
      <c r="A112" s="3" t="s">
        <v>575</v>
      </c>
    </row>
    <row r="113" spans="1:1" x14ac:dyDescent="0.3">
      <c r="A113" s="3" t="s">
        <v>578</v>
      </c>
    </row>
    <row r="114" spans="1:1" ht="26.4" x14ac:dyDescent="0.3">
      <c r="A114" s="14" t="s">
        <v>581</v>
      </c>
    </row>
    <row r="115" spans="1:1" x14ac:dyDescent="0.3">
      <c r="A115" s="3" t="s">
        <v>584</v>
      </c>
    </row>
    <row r="116" spans="1:1" x14ac:dyDescent="0.3">
      <c r="A116" s="3" t="s">
        <v>587</v>
      </c>
    </row>
    <row r="117" spans="1:1" x14ac:dyDescent="0.3">
      <c r="A117" s="3" t="s">
        <v>591</v>
      </c>
    </row>
    <row r="118" spans="1:1" x14ac:dyDescent="0.3">
      <c r="A118" s="3" t="s">
        <v>595</v>
      </c>
    </row>
    <row r="119" spans="1:1" x14ac:dyDescent="0.3">
      <c r="A119" s="3" t="s">
        <v>598</v>
      </c>
    </row>
    <row r="120" spans="1:1" x14ac:dyDescent="0.3">
      <c r="A120" s="3" t="s">
        <v>602</v>
      </c>
    </row>
    <row r="121" spans="1:1" x14ac:dyDescent="0.3">
      <c r="A121" s="3" t="s">
        <v>605</v>
      </c>
    </row>
    <row r="122" spans="1:1" x14ac:dyDescent="0.3">
      <c r="A122" s="3" t="s">
        <v>608</v>
      </c>
    </row>
    <row r="123" spans="1:1" x14ac:dyDescent="0.3">
      <c r="A123" s="3" t="s">
        <v>612</v>
      </c>
    </row>
    <row r="124" spans="1:1" x14ac:dyDescent="0.3">
      <c r="A124" s="3" t="s">
        <v>615</v>
      </c>
    </row>
    <row r="125" spans="1:1" x14ac:dyDescent="0.3">
      <c r="A125" s="3" t="s">
        <v>618</v>
      </c>
    </row>
    <row r="126" spans="1:1" x14ac:dyDescent="0.3">
      <c r="A126" s="3" t="s">
        <v>621</v>
      </c>
    </row>
    <row r="127" spans="1:1" x14ac:dyDescent="0.3">
      <c r="A127" s="3" t="s">
        <v>624</v>
      </c>
    </row>
    <row r="128" spans="1:1" x14ac:dyDescent="0.3">
      <c r="A128" s="3" t="s">
        <v>627</v>
      </c>
    </row>
    <row r="129" spans="1:1" x14ac:dyDescent="0.3">
      <c r="A129" s="3" t="s">
        <v>631</v>
      </c>
    </row>
    <row r="130" spans="1:1" x14ac:dyDescent="0.3">
      <c r="A130" s="3" t="s">
        <v>634</v>
      </c>
    </row>
    <row r="131" spans="1:1" x14ac:dyDescent="0.3">
      <c r="A131" s="3" t="s">
        <v>637</v>
      </c>
    </row>
    <row r="132" spans="1:1" x14ac:dyDescent="0.3">
      <c r="A132" s="3" t="s">
        <v>640</v>
      </c>
    </row>
    <row r="133" spans="1:1" x14ac:dyDescent="0.3">
      <c r="A133" s="3" t="s">
        <v>644</v>
      </c>
    </row>
    <row r="134" spans="1:1" x14ac:dyDescent="0.3">
      <c r="A134" s="3" t="s">
        <v>647</v>
      </c>
    </row>
    <row r="135" spans="1:1" x14ac:dyDescent="0.3">
      <c r="A135" s="3" t="s">
        <v>651</v>
      </c>
    </row>
    <row r="136" spans="1:1" x14ac:dyDescent="0.3">
      <c r="A136" s="3" t="s">
        <v>655</v>
      </c>
    </row>
    <row r="137" spans="1:1" x14ac:dyDescent="0.3">
      <c r="A137" s="3" t="s">
        <v>658</v>
      </c>
    </row>
    <row r="138" spans="1:1" x14ac:dyDescent="0.3">
      <c r="A138" s="3" t="s">
        <v>661</v>
      </c>
    </row>
    <row r="139" spans="1:1" x14ac:dyDescent="0.3">
      <c r="A139" s="3" t="s">
        <v>664</v>
      </c>
    </row>
    <row r="140" spans="1:1" x14ac:dyDescent="0.3">
      <c r="A140" s="3" t="s">
        <v>667</v>
      </c>
    </row>
    <row r="141" spans="1:1" x14ac:dyDescent="0.3">
      <c r="A141" s="3" t="s">
        <v>670</v>
      </c>
    </row>
    <row r="142" spans="1:1" x14ac:dyDescent="0.3">
      <c r="A142" s="3" t="s">
        <v>674</v>
      </c>
    </row>
    <row r="143" spans="1:1" x14ac:dyDescent="0.3">
      <c r="A143" s="3" t="s">
        <v>677</v>
      </c>
    </row>
    <row r="144" spans="1:1" x14ac:dyDescent="0.3">
      <c r="A144" s="3" t="s">
        <v>681</v>
      </c>
    </row>
    <row r="145" spans="1:1" x14ac:dyDescent="0.3">
      <c r="A145" s="3" t="s">
        <v>684</v>
      </c>
    </row>
    <row r="146" spans="1:1" x14ac:dyDescent="0.3">
      <c r="A146" s="3" t="s">
        <v>687</v>
      </c>
    </row>
    <row r="147" spans="1:1" x14ac:dyDescent="0.3">
      <c r="A147" s="3" t="s">
        <v>690</v>
      </c>
    </row>
    <row r="148" spans="1:1" x14ac:dyDescent="0.3">
      <c r="A148" s="14" t="s">
        <v>693</v>
      </c>
    </row>
    <row r="149" spans="1:1" x14ac:dyDescent="0.3">
      <c r="A149" s="3" t="s">
        <v>697</v>
      </c>
    </row>
    <row r="150" spans="1:1" x14ac:dyDescent="0.3">
      <c r="A150" s="3" t="s">
        <v>701</v>
      </c>
    </row>
    <row r="151" spans="1:1" x14ac:dyDescent="0.3">
      <c r="A151" s="3" t="s">
        <v>705</v>
      </c>
    </row>
    <row r="152" spans="1:1" x14ac:dyDescent="0.3">
      <c r="A152" s="3" t="s">
        <v>709</v>
      </c>
    </row>
    <row r="153" spans="1:1" x14ac:dyDescent="0.3">
      <c r="A153" s="3" t="s">
        <v>712</v>
      </c>
    </row>
    <row r="154" spans="1:1" x14ac:dyDescent="0.3">
      <c r="A154" s="3" t="s">
        <v>715</v>
      </c>
    </row>
    <row r="155" spans="1:1" x14ac:dyDescent="0.3">
      <c r="A155" s="3" t="s">
        <v>719</v>
      </c>
    </row>
    <row r="156" spans="1:1" x14ac:dyDescent="0.3">
      <c r="A156" s="3" t="s">
        <v>723</v>
      </c>
    </row>
    <row r="157" spans="1:1" x14ac:dyDescent="0.3">
      <c r="A157" s="3" t="s">
        <v>727</v>
      </c>
    </row>
    <row r="158" spans="1:1" x14ac:dyDescent="0.3">
      <c r="A158" s="3" t="s">
        <v>731</v>
      </c>
    </row>
    <row r="159" spans="1:1" x14ac:dyDescent="0.3">
      <c r="A159" s="3" t="s">
        <v>735</v>
      </c>
    </row>
    <row r="160" spans="1:1" x14ac:dyDescent="0.3">
      <c r="A160" s="3" t="s">
        <v>739</v>
      </c>
    </row>
    <row r="161" spans="1:1" x14ac:dyDescent="0.3">
      <c r="A161" s="3" t="s">
        <v>744</v>
      </c>
    </row>
    <row r="162" spans="1:1" x14ac:dyDescent="0.3">
      <c r="A162" s="3" t="s">
        <v>748</v>
      </c>
    </row>
    <row r="163" spans="1:1" x14ac:dyDescent="0.3">
      <c r="A163" s="3" t="s">
        <v>751</v>
      </c>
    </row>
    <row r="164" spans="1:1" x14ac:dyDescent="0.3">
      <c r="A164" s="3" t="s">
        <v>754</v>
      </c>
    </row>
    <row r="165" spans="1:1" x14ac:dyDescent="0.3">
      <c r="A165" s="3" t="s">
        <v>756</v>
      </c>
    </row>
    <row r="166" spans="1:1" x14ac:dyDescent="0.3">
      <c r="A166" s="3" t="s">
        <v>759</v>
      </c>
    </row>
    <row r="167" spans="1:1" x14ac:dyDescent="0.3">
      <c r="A167" s="3" t="s">
        <v>763</v>
      </c>
    </row>
    <row r="168" spans="1:1" x14ac:dyDescent="0.3">
      <c r="A168" s="3" t="s">
        <v>766</v>
      </c>
    </row>
    <row r="169" spans="1:1" x14ac:dyDescent="0.3">
      <c r="A169" s="3" t="s">
        <v>770</v>
      </c>
    </row>
    <row r="170" spans="1:1" x14ac:dyDescent="0.3">
      <c r="A170" s="3" t="s">
        <v>774</v>
      </c>
    </row>
    <row r="171" spans="1:1" x14ac:dyDescent="0.3">
      <c r="A171" s="3" t="s">
        <v>777</v>
      </c>
    </row>
    <row r="172" spans="1:1" x14ac:dyDescent="0.3">
      <c r="A172" s="3" t="s">
        <v>781</v>
      </c>
    </row>
    <row r="173" spans="1:1" x14ac:dyDescent="0.3">
      <c r="A173" s="3" t="s">
        <v>785</v>
      </c>
    </row>
    <row r="174" spans="1:1" x14ac:dyDescent="0.3">
      <c r="A174" s="3" t="s">
        <v>789</v>
      </c>
    </row>
    <row r="175" spans="1:1" x14ac:dyDescent="0.3">
      <c r="A175" s="38" t="s">
        <v>792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423ED4-21A6-41DF-89D7-6CD27D95096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4576703-C4EA-42A2-935E-C76D3BE0FC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8937D50-EA8A-4E8E-9144-993F62C5613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Ajustes</vt:lpstr>
      <vt:lpstr>MatrizSeguimientoEvaluacion</vt:lpstr>
      <vt:lpstr>OtrosEjecutoresDescentralizadas</vt:lpstr>
      <vt:lpstr>OtrosEjecutoresMunicipios</vt:lpstr>
      <vt:lpstr>Hoja1</vt:lpstr>
      <vt:lpstr>BPIN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Indicadores</cp:lastModifiedBy>
  <cp:revision/>
  <dcterms:created xsi:type="dcterms:W3CDTF">2026-04-22T13:17:59Z</dcterms:created>
  <dcterms:modified xsi:type="dcterms:W3CDTF">2026-05-22T19:34:23Z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