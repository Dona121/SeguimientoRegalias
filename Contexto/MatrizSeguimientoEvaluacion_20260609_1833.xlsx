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Donaldo Acosta\Documents\MEGA\Estudio\python\Seguimiento Regalias\Contexto\"/>
    </mc:Choice>
  </mc:AlternateContent>
  <xr:revisionPtr revIDLastSave="0" documentId="13_ncr:1_{5B85203E-BBA8-47C8-8343-C2D1282EFB15}" xr6:coauthVersionLast="47" xr6:coauthVersionMax="47" xr10:uidLastSave="{00000000-0000-0000-0000-000000000000}"/>
  <bookViews>
    <workbookView xWindow="-108" yWindow="-108" windowWidth="23256" windowHeight="12456" activeTab="1" xr2:uid="{00000000-000D-0000-FFFF-FFFF00000000}"/>
  </bookViews>
  <sheets>
    <sheet name="MatrizSeguimientoEvaluacion" sheetId="1" r:id="rId1"/>
    <sheet name="OtrosEjecutoresDescentralizadas" sheetId="2" r:id="rId2"/>
    <sheet name="OtrosEjecutoresMunicipio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M18" i="2" l="1"/>
  <c r="AL18" i="2"/>
  <c r="AG18" i="2"/>
  <c r="AF18" i="2"/>
  <c r="AE18" i="2"/>
  <c r="AD18" i="2"/>
  <c r="AL17" i="2"/>
  <c r="AG17" i="2"/>
  <c r="AF17" i="2"/>
  <c r="AE17" i="2"/>
  <c r="AD17" i="2"/>
  <c r="AM16" i="2"/>
  <c r="AL16" i="2"/>
  <c r="AG16" i="2"/>
  <c r="AF16" i="2"/>
  <c r="AE16" i="2"/>
  <c r="AD16" i="2"/>
  <c r="AL15" i="2"/>
  <c r="AG15" i="2"/>
  <c r="AF15" i="2"/>
  <c r="AE15" i="2"/>
  <c r="AD15" i="2"/>
  <c r="AL14" i="2"/>
  <c r="AG14" i="2"/>
  <c r="AF14" i="2"/>
  <c r="AE14" i="2"/>
  <c r="AD14" i="2"/>
  <c r="AM13" i="2"/>
  <c r="AL13" i="2"/>
  <c r="AG13" i="2"/>
  <c r="AF13" i="2"/>
  <c r="AE13" i="2"/>
  <c r="AD13" i="2"/>
  <c r="AL12" i="2"/>
  <c r="AG12" i="2"/>
  <c r="AF12" i="2"/>
  <c r="AE12" i="2"/>
  <c r="AD12" i="2"/>
  <c r="AL11" i="2"/>
  <c r="AG11" i="2"/>
  <c r="AF11" i="2"/>
  <c r="AE11" i="2"/>
  <c r="AD11" i="2"/>
  <c r="AL10" i="2"/>
  <c r="AG10" i="2"/>
  <c r="AF10" i="2"/>
  <c r="AE10" i="2"/>
  <c r="AD10" i="2"/>
  <c r="AM9" i="2"/>
  <c r="AL9" i="2"/>
  <c r="AG9" i="2"/>
  <c r="AF9" i="2"/>
  <c r="AE9" i="2"/>
  <c r="AD9" i="2"/>
  <c r="AM8" i="2"/>
  <c r="AL8" i="2"/>
  <c r="AG8" i="2"/>
  <c r="AF8" i="2"/>
  <c r="AE8" i="2"/>
  <c r="AD8" i="2"/>
  <c r="AL7" i="2"/>
  <c r="AG7" i="2"/>
  <c r="AF7" i="2"/>
  <c r="AE7" i="2"/>
  <c r="AD7" i="2"/>
  <c r="AL6" i="2"/>
  <c r="AG6" i="2"/>
  <c r="AF6" i="2"/>
  <c r="AE6" i="2"/>
  <c r="AD6" i="2"/>
  <c r="AL5" i="2"/>
  <c r="AG5" i="2"/>
  <c r="AF5" i="2"/>
  <c r="AE5" i="2"/>
  <c r="AD5" i="2"/>
  <c r="AM4" i="2"/>
  <c r="AL4" i="2"/>
  <c r="AG4" i="2"/>
  <c r="AF4" i="2"/>
  <c r="AE4" i="2"/>
  <c r="AD4" i="2"/>
  <c r="AM3" i="2"/>
  <c r="AL3" i="2"/>
  <c r="AG3" i="2"/>
  <c r="AF3" i="2"/>
  <c r="AE3" i="2"/>
  <c r="AD3" i="2"/>
  <c r="AX60" i="1"/>
  <c r="AW60" i="1"/>
  <c r="AU60" i="1"/>
  <c r="AR60" i="1"/>
  <c r="AQ60" i="1"/>
  <c r="AP60" i="1"/>
  <c r="AO60" i="1"/>
  <c r="AX59" i="1"/>
  <c r="AW59" i="1"/>
  <c r="AU59" i="1"/>
  <c r="AR59" i="1"/>
  <c r="AQ59" i="1"/>
  <c r="AP59" i="1"/>
  <c r="AO59" i="1"/>
  <c r="AX58" i="1"/>
  <c r="AW58" i="1"/>
  <c r="AU58" i="1"/>
  <c r="AR58" i="1"/>
  <c r="AQ58" i="1"/>
  <c r="AP58" i="1"/>
  <c r="AO58" i="1"/>
  <c r="AX57" i="1"/>
  <c r="AW57" i="1"/>
  <c r="AU57" i="1"/>
  <c r="AR57" i="1"/>
  <c r="AQ57" i="1"/>
  <c r="AP57" i="1"/>
  <c r="AO57" i="1"/>
  <c r="AX56" i="1"/>
  <c r="AW56" i="1"/>
  <c r="AU56" i="1"/>
  <c r="AR56" i="1"/>
  <c r="AQ56" i="1"/>
  <c r="AP56" i="1"/>
  <c r="AO56" i="1"/>
  <c r="AW55" i="1"/>
  <c r="AU55" i="1"/>
  <c r="AR55" i="1"/>
  <c r="AQ55" i="1"/>
  <c r="AP55" i="1"/>
  <c r="AO55" i="1"/>
  <c r="AX54" i="1"/>
  <c r="AW54" i="1"/>
  <c r="AU54" i="1"/>
  <c r="AR54" i="1"/>
  <c r="AQ54" i="1"/>
  <c r="AP54" i="1"/>
  <c r="AO54" i="1"/>
  <c r="AX53" i="1"/>
  <c r="AW53" i="1"/>
  <c r="AU53" i="1"/>
  <c r="AR53" i="1"/>
  <c r="AQ53" i="1"/>
  <c r="AP53" i="1"/>
  <c r="AO53" i="1"/>
  <c r="AW52" i="1"/>
  <c r="AU52" i="1"/>
  <c r="AR52" i="1"/>
  <c r="AQ52" i="1"/>
  <c r="AP52" i="1"/>
  <c r="AO52" i="1"/>
  <c r="AW51" i="1"/>
  <c r="AU51" i="1"/>
  <c r="AR51" i="1"/>
  <c r="AQ51" i="1"/>
  <c r="AP51" i="1"/>
  <c r="AO51" i="1"/>
  <c r="AX50" i="1"/>
  <c r="AW50" i="1"/>
  <c r="AU50" i="1"/>
  <c r="AR50" i="1"/>
  <c r="AQ50" i="1"/>
  <c r="AP50" i="1"/>
  <c r="AO50" i="1"/>
  <c r="AX49" i="1"/>
  <c r="AW49" i="1"/>
  <c r="AU49" i="1"/>
  <c r="AR49" i="1"/>
  <c r="AQ49" i="1"/>
  <c r="AP49" i="1"/>
  <c r="AO49" i="1"/>
  <c r="AX48" i="1"/>
  <c r="AW48" i="1"/>
  <c r="AU48" i="1"/>
  <c r="AR48" i="1"/>
  <c r="AQ48" i="1"/>
  <c r="AP48" i="1"/>
  <c r="AO48" i="1"/>
  <c r="AX47" i="1"/>
  <c r="AW47" i="1"/>
  <c r="AU47" i="1"/>
  <c r="AR47" i="1"/>
  <c r="AQ47" i="1"/>
  <c r="AP47" i="1"/>
  <c r="AO47" i="1"/>
  <c r="AX46" i="1"/>
  <c r="AW46" i="1"/>
  <c r="AU46" i="1"/>
  <c r="AR46" i="1"/>
  <c r="AQ46" i="1"/>
  <c r="AP46" i="1"/>
  <c r="AO46" i="1"/>
  <c r="AW45" i="1"/>
  <c r="AU45" i="1"/>
  <c r="AR45" i="1"/>
  <c r="AQ45" i="1"/>
  <c r="AP45" i="1"/>
  <c r="AO45" i="1"/>
  <c r="AX44" i="1"/>
  <c r="AW44" i="1"/>
  <c r="AU44" i="1"/>
  <c r="AQ44" i="1"/>
  <c r="AR44" i="1" s="1"/>
  <c r="AP44" i="1"/>
  <c r="AO44" i="1"/>
  <c r="AX43" i="1"/>
  <c r="AW43" i="1"/>
  <c r="AU43" i="1"/>
  <c r="AR43" i="1"/>
  <c r="AQ43" i="1"/>
  <c r="AP43" i="1"/>
  <c r="AO43" i="1"/>
  <c r="AW42" i="1"/>
  <c r="AU42" i="1"/>
  <c r="AR42" i="1"/>
  <c r="AQ42" i="1"/>
  <c r="AP42" i="1"/>
  <c r="AO42" i="1"/>
  <c r="AX41" i="1"/>
  <c r="AW41" i="1"/>
  <c r="AU41" i="1"/>
  <c r="AR41" i="1"/>
  <c r="AQ41" i="1"/>
  <c r="AP41" i="1"/>
  <c r="AO41" i="1"/>
  <c r="AW40" i="1"/>
  <c r="AU40" i="1"/>
  <c r="AQ40" i="1"/>
  <c r="AR40" i="1" s="1"/>
  <c r="AP40" i="1"/>
  <c r="AO40" i="1"/>
  <c r="AX39" i="1"/>
  <c r="AW39" i="1"/>
  <c r="AU39" i="1"/>
  <c r="AR39" i="1"/>
  <c r="AQ39" i="1"/>
  <c r="AP39" i="1"/>
  <c r="AO39" i="1"/>
  <c r="AW38" i="1"/>
  <c r="AU38" i="1"/>
  <c r="AQ38" i="1"/>
  <c r="AR38" i="1" s="1"/>
  <c r="AP38" i="1"/>
  <c r="AO38" i="1"/>
  <c r="AX37" i="1"/>
  <c r="AW37" i="1"/>
  <c r="AU37" i="1"/>
  <c r="AQ37" i="1"/>
  <c r="AR37" i="1" s="1"/>
  <c r="AP37" i="1"/>
  <c r="AO37" i="1"/>
  <c r="AW36" i="1"/>
  <c r="AU36" i="1"/>
  <c r="AR36" i="1"/>
  <c r="AQ36" i="1"/>
  <c r="AP36" i="1"/>
  <c r="AO36" i="1"/>
  <c r="AX35" i="1"/>
  <c r="AW35" i="1"/>
  <c r="AU35" i="1"/>
  <c r="AR35" i="1"/>
  <c r="AQ35" i="1"/>
  <c r="AP35" i="1"/>
  <c r="AO35" i="1"/>
  <c r="AX34" i="1"/>
  <c r="AW34" i="1"/>
  <c r="AU34" i="1"/>
  <c r="AR34" i="1"/>
  <c r="AQ34" i="1"/>
  <c r="AP34" i="1"/>
  <c r="AO34" i="1"/>
  <c r="AX33" i="1"/>
  <c r="AW33" i="1"/>
  <c r="AU33" i="1"/>
  <c r="AR33" i="1"/>
  <c r="AQ33" i="1"/>
  <c r="AP33" i="1"/>
  <c r="AO33" i="1"/>
  <c r="AX32" i="1"/>
  <c r="AW32" i="1"/>
  <c r="AU32" i="1"/>
  <c r="AQ32" i="1"/>
  <c r="AR32" i="1" s="1"/>
  <c r="AP32" i="1"/>
  <c r="AO32" i="1"/>
  <c r="AX31" i="1"/>
  <c r="AW31" i="1"/>
  <c r="AU31" i="1"/>
  <c r="AR31" i="1"/>
  <c r="AQ31" i="1"/>
  <c r="AP31" i="1"/>
  <c r="AO31" i="1"/>
  <c r="AX30" i="1"/>
  <c r="AW30" i="1"/>
  <c r="AU30" i="1"/>
  <c r="AR30" i="1"/>
  <c r="AQ30" i="1"/>
  <c r="AP30" i="1"/>
  <c r="AO30" i="1"/>
  <c r="AX29" i="1"/>
  <c r="AW29" i="1"/>
  <c r="AU29" i="1"/>
  <c r="AR29" i="1"/>
  <c r="AQ29" i="1"/>
  <c r="AP29" i="1"/>
  <c r="AO29" i="1"/>
  <c r="AX28" i="1"/>
  <c r="AW28" i="1"/>
  <c r="AU28" i="1"/>
  <c r="AR28" i="1"/>
  <c r="AQ28" i="1"/>
  <c r="AP28" i="1"/>
  <c r="AO28" i="1"/>
  <c r="AX27" i="1"/>
  <c r="AW27" i="1"/>
  <c r="AU27" i="1"/>
  <c r="AR27" i="1"/>
  <c r="AQ27" i="1"/>
  <c r="AP27" i="1"/>
  <c r="AO27" i="1"/>
  <c r="AW26" i="1"/>
  <c r="AU26" i="1"/>
  <c r="AR26" i="1"/>
  <c r="AQ26" i="1"/>
  <c r="AP26" i="1"/>
  <c r="AO26" i="1"/>
  <c r="AX25" i="1"/>
  <c r="AW25" i="1"/>
  <c r="AU25" i="1"/>
  <c r="AR25" i="1"/>
  <c r="AQ25" i="1"/>
  <c r="AP25" i="1"/>
  <c r="AO25" i="1"/>
  <c r="AX24" i="1"/>
  <c r="AW24" i="1"/>
  <c r="AU24" i="1"/>
  <c r="AR24" i="1"/>
  <c r="AQ24" i="1"/>
  <c r="AP24" i="1"/>
  <c r="AO24" i="1"/>
  <c r="AX23" i="1"/>
  <c r="AW23" i="1"/>
  <c r="AU23" i="1"/>
  <c r="AR23" i="1"/>
  <c r="AQ23" i="1"/>
  <c r="AP23" i="1"/>
  <c r="AO23" i="1"/>
  <c r="AW22" i="1"/>
  <c r="AU22" i="1"/>
  <c r="AQ22" i="1"/>
  <c r="AR22" i="1" s="1"/>
  <c r="AP22" i="1"/>
  <c r="AO22" i="1"/>
  <c r="AX21" i="1"/>
  <c r="AW21" i="1"/>
  <c r="AU21" i="1"/>
  <c r="AQ21" i="1"/>
  <c r="AR21" i="1" s="1"/>
  <c r="AP21" i="1"/>
  <c r="AO21" i="1"/>
  <c r="AX20" i="1"/>
  <c r="AW20" i="1"/>
  <c r="AU20" i="1"/>
  <c r="AQ20" i="1"/>
  <c r="AR20" i="1" s="1"/>
  <c r="AP20" i="1"/>
  <c r="AO20" i="1"/>
  <c r="AX19" i="1"/>
  <c r="AW19" i="1"/>
  <c r="AU19" i="1"/>
  <c r="AR19" i="1"/>
  <c r="AQ19" i="1"/>
  <c r="AP19" i="1"/>
  <c r="AO19" i="1"/>
  <c r="AX18" i="1"/>
  <c r="AW18" i="1"/>
  <c r="AU18" i="1"/>
  <c r="AR18" i="1"/>
  <c r="AQ18" i="1"/>
  <c r="AP18" i="1"/>
  <c r="AO18" i="1"/>
  <c r="AX17" i="1"/>
  <c r="AW17" i="1"/>
  <c r="AU17" i="1"/>
  <c r="AR17" i="1"/>
  <c r="AQ17" i="1"/>
  <c r="AP17" i="1"/>
  <c r="AO17" i="1"/>
  <c r="AX16" i="1"/>
  <c r="AW16" i="1"/>
  <c r="AU16" i="1"/>
  <c r="AQ16" i="1"/>
  <c r="AR16" i="1" s="1"/>
  <c r="AP16" i="1"/>
  <c r="AO16" i="1"/>
  <c r="AX15" i="1"/>
  <c r="AW15" i="1"/>
  <c r="AU15" i="1"/>
  <c r="AQ15" i="1"/>
  <c r="AR15" i="1" s="1"/>
  <c r="AP15" i="1"/>
  <c r="AO15" i="1"/>
  <c r="AX14" i="1"/>
  <c r="AW14" i="1"/>
  <c r="AU14" i="1"/>
  <c r="AR14" i="1"/>
  <c r="AQ14" i="1"/>
  <c r="AP14" i="1"/>
  <c r="AO14" i="1"/>
  <c r="AX13" i="1"/>
  <c r="AW13" i="1"/>
  <c r="AU13" i="1"/>
  <c r="AR13" i="1"/>
  <c r="AQ13" i="1"/>
  <c r="AP13" i="1"/>
  <c r="AO13" i="1"/>
  <c r="AX12" i="1"/>
  <c r="AW12" i="1"/>
  <c r="AU12" i="1"/>
  <c r="AR12" i="1"/>
  <c r="AQ12" i="1"/>
  <c r="AP12" i="1"/>
  <c r="AO12" i="1"/>
  <c r="AX11" i="1"/>
  <c r="AW11" i="1"/>
  <c r="AU11" i="1"/>
  <c r="AQ11" i="1"/>
  <c r="AR11" i="1" s="1"/>
  <c r="AP11" i="1"/>
  <c r="AO11" i="1"/>
  <c r="AX10" i="1"/>
  <c r="AW10" i="1"/>
  <c r="AU10" i="1"/>
  <c r="AR10" i="1"/>
  <c r="AQ10" i="1"/>
  <c r="AP10" i="1"/>
  <c r="AO10" i="1"/>
  <c r="AX9" i="1"/>
  <c r="AW9" i="1"/>
  <c r="AU9" i="1"/>
  <c r="AQ9" i="1"/>
  <c r="AR9" i="1" s="1"/>
  <c r="AP9" i="1"/>
  <c r="AO9" i="1"/>
  <c r="AX8" i="1"/>
  <c r="AW8" i="1"/>
  <c r="AU8" i="1"/>
  <c r="AR8" i="1"/>
  <c r="AQ8" i="1"/>
  <c r="AP8" i="1"/>
  <c r="AO8" i="1"/>
  <c r="AX7" i="1"/>
  <c r="AW7" i="1"/>
  <c r="AU7" i="1"/>
  <c r="AR7" i="1"/>
  <c r="AQ7" i="1"/>
  <c r="AP7" i="1"/>
  <c r="AO7" i="1"/>
  <c r="AX6" i="1"/>
  <c r="AW6" i="1"/>
  <c r="AU6" i="1"/>
  <c r="AQ6" i="1"/>
  <c r="AR6" i="1" s="1"/>
  <c r="AP6" i="1"/>
  <c r="AO6" i="1"/>
  <c r="AX5" i="1"/>
  <c r="AW5" i="1"/>
  <c r="AU5" i="1"/>
  <c r="AR5" i="1"/>
  <c r="AQ5" i="1"/>
  <c r="AP5" i="1"/>
  <c r="AO5" i="1"/>
  <c r="AX4" i="1"/>
  <c r="AW4" i="1"/>
  <c r="AU4" i="1"/>
  <c r="AQ4" i="1"/>
  <c r="AR4" i="1" s="1"/>
  <c r="AP4" i="1"/>
  <c r="AO4" i="1"/>
  <c r="AX3" i="1"/>
  <c r="AW3" i="1"/>
  <c r="AU3" i="1"/>
  <c r="AR3" i="1"/>
  <c r="AQ3" i="1"/>
  <c r="AP3" i="1"/>
  <c r="AO3" i="1"/>
  <c r="AM11" i="2" l="1"/>
  <c r="AM17" i="2"/>
  <c r="AM7" i="2"/>
  <c r="AM12" i="2"/>
  <c r="AM10" i="2"/>
  <c r="AM6" i="2"/>
  <c r="AM15" i="2"/>
  <c r="AM14" i="2"/>
  <c r="AM5" i="2"/>
  <c r="AX26" i="1"/>
  <c r="AX52" i="1"/>
  <c r="AX36" i="1"/>
  <c r="AX38" i="1"/>
  <c r="AX40" i="1"/>
  <c r="AX42" i="1"/>
  <c r="AX22" i="1"/>
  <c r="AX51" i="1"/>
  <c r="AX55" i="1"/>
  <c r="AX45" i="1"/>
</calcChain>
</file>

<file path=xl/sharedStrings.xml><?xml version="1.0" encoding="utf-8"?>
<sst xmlns="http://schemas.openxmlformats.org/spreadsheetml/2006/main" count="2025" uniqueCount="1016">
  <si>
    <t>DATOS GENERALES</t>
  </si>
  <si>
    <t>DATOS PARA CALIFICACIÓN</t>
  </si>
  <si>
    <t>EVALUACIÓN</t>
  </si>
  <si>
    <t>BPIN</t>
  </si>
  <si>
    <t>ENTIDAD O SECRETARIA</t>
  </si>
  <si>
    <t>NOMBRE PROYECTO</t>
  </si>
  <si>
    <t>ALCANCE DEL PROYECTO</t>
  </si>
  <si>
    <t>SECTOR</t>
  </si>
  <si>
    <t>INDICADOR DE PRODUCTO MGA</t>
  </si>
  <si>
    <t>ESTADO PROYECTO</t>
  </si>
  <si>
    <t>ESTADO CONTRATO</t>
  </si>
  <si>
    <t>TIPO CONTRATO</t>
  </si>
  <si>
    <t>FUENTE DE FINANCIACIÓN</t>
  </si>
  <si>
    <t>VALOR SGR</t>
  </si>
  <si>
    <t>VALOR NACIÓN</t>
  </si>
  <si>
    <t>VALOR OTROS</t>
  </si>
  <si>
    <t>VALOR OTRAS FUENTES NO SUIFP</t>
  </si>
  <si>
    <t>VALOR TOTAL PROYECTO</t>
  </si>
  <si>
    <t>VALOR PAGOS</t>
  </si>
  <si>
    <t>ULTIMA FECHA PAGO</t>
  </si>
  <si>
    <t>FECHA DE MIGRACIÓN A GESPROY</t>
  </si>
  <si>
    <t>FECHA DE ASIGNACIÓN DE RECURSOS</t>
  </si>
  <si>
    <t>FECHA DE INCORPORACIÓN DE RECURSOS</t>
  </si>
  <si>
    <t>AVANCE FISICO</t>
  </si>
  <si>
    <t>AVANCE FINANCIERO</t>
  </si>
  <si>
    <t>CPI</t>
  </si>
  <si>
    <t>SPI</t>
  </si>
  <si>
    <t>FECHA APROBACIÓN PROYECTO</t>
  </si>
  <si>
    <t>FECHA DE APERTURA DEL PRIMER PROCESO</t>
  </si>
  <si>
    <t>FECHA DE SUSCRIPCIÓN DEL CONTRATO PRINCIPAL</t>
  </si>
  <si>
    <t>FECHA DE SUSCRIPCIÓN DEL PRIMER CONTRATO</t>
  </si>
  <si>
    <t>FECHA ACTA INICIO</t>
  </si>
  <si>
    <t>HORIZONTE DEL PROYECTO</t>
  </si>
  <si>
    <t>FECHA DE FINALIZACIÓN</t>
  </si>
  <si>
    <t>FECHA EN LA QUE PASO A ESTADO PARA CIERRE</t>
  </si>
  <si>
    <t>FECHA DE CORTE GESPROY</t>
  </si>
  <si>
    <t>INFORMACIÓN SOLICITADA</t>
  </si>
  <si>
    <t>INFORMACIÓN RECIBIDA</t>
  </si>
  <si>
    <t>FECHA DE RECIBO DE INFORMACIÓN</t>
  </si>
  <si>
    <t>DIAS DESDE LA APROBACIÓN HASTA APERTURA DEL PRIMER PROCESO</t>
  </si>
  <si>
    <t>DIAS DESDE LA APERTURA HASTA LA FIRMA DEL PRIMER CONTRATO</t>
  </si>
  <si>
    <t>DIAS DESDE LA FECHA DE SUSCRIPCIÓN HASTA LA FECHA DEL ACTA DE INICIO</t>
  </si>
  <si>
    <t>DESEMPEÑO EN EL CRONOGRAMA</t>
  </si>
  <si>
    <t>DESEMPEÑO EN EL COSTO</t>
  </si>
  <si>
    <t>COLUMNA APOYO</t>
  </si>
  <si>
    <t>BRECHA FISICO - FINANCIERA</t>
  </si>
  <si>
    <t>CONTROL EXTERNALIDADES</t>
  </si>
  <si>
    <t>CALIFICACIÓN DESEMPEÑO EN LA CONTRATACIÓN</t>
  </si>
  <si>
    <t>CALIFICACIÓN INFORMACIÓN A TIEMPO</t>
  </si>
  <si>
    <t>CALIFICACIÓN CALIDAD INFORMACIÓN</t>
  </si>
  <si>
    <t>COLUMNA APOYO 2</t>
  </si>
  <si>
    <t>CALIFICACIÓN EJECUCIÓN DEL PROYECTO</t>
  </si>
  <si>
    <t>COMENTARIOS CALIFICACIÓN</t>
  </si>
  <si>
    <t>RESPONSABLE CARGUE EN GESPROY</t>
  </si>
  <si>
    <t>MUNICIPIOS</t>
  </si>
  <si>
    <t>2012000020041</t>
  </si>
  <si>
    <t>Planeación</t>
  </si>
  <si>
    <t>ADECUACIÓN DE LA SEDE PARA EL MUSEO ARQUEOLoGICO DE SUCRE Y LA IMPLEMENTACIoN DE ACCIONES PARA EL FORTALECIMIENTO DE LA IDENTIDAD Y LA VALORACIoN DEL PATRIMONIO CULTURAL DE SUCRE</t>
  </si>
  <si>
    <t>BRINDAR UN ESPACIO ARQUITECTÓNICO ADECUADO PARA LA SEDE DEL MUSEO ARQUEOLÓGICO DEL DEPARTAMENTO DE SUCRE</t>
  </si>
  <si>
    <t>CULTURA</t>
  </si>
  <si>
    <t xml:space="preserve">´-Catalogos tecnicos (colecciones, exposiciones  temporales y museología)publicados 
- Bibliotecas dotadas y/o fortalecidas
- Investigaciones en antropología e historia públicadas
  - Área adecuada
Parques arqueologicos restaurados o mantenidos 
Objetos de aprendizaje virtuales implementados 
</t>
  </si>
  <si>
    <t>TERMINADO</t>
  </si>
  <si>
    <t xml:space="preserve">Terminado                                                             </t>
  </si>
  <si>
    <t>Consultoría</t>
  </si>
  <si>
    <t xml:space="preserve">SGR - Asignación para la inversión regional 60% </t>
  </si>
  <si>
    <t>Me permito solicitar el número de beneficiarios y la sostenibilidad</t>
  </si>
  <si>
    <t>No se recibió información</t>
  </si>
  <si>
    <t xml:space="preserve">Proyecto en estado terminado. Se está a la espera de respuesta por parte de tesorería, conforme a unos pagos pendientes por reportar en la plataforma Gesproy.
Así mismo, se encuentra pendiente la liquidación del contrato CM-008-2015, la cual se solicitó a contratación desde el 20 de abril de 2026 y a la fecha no se ha recibido respuesta, el 06 de mayo se realizó la reiteración y se está a la espera de respuesta. Una vez se cuente con el registro de los pagos del contrato CONV-015-2023, se podrá proceder con el cargue de la liquidación correspondiente. 
</t>
  </si>
  <si>
    <t>ZAMARA GARCÍA MARTÍNEZ</t>
  </si>
  <si>
    <t>Sincelejo</t>
  </si>
  <si>
    <t>2012000100008</t>
  </si>
  <si>
    <t>Salud</t>
  </si>
  <si>
    <t>INVESTIGACIÓN INSTITUTO INVESTIGACIONES BIOMeDICAS DEL CARIBE. DEPARTAMENTO DE SUCRE</t>
  </si>
  <si>
    <t xml:space="preserve">Desarrollar capacidad instalada de 400 m2 de un laboratorio de biomedicas </t>
  </si>
  <si>
    <t>CIENCIA, TECNOLOGÍA E INNOVACIÓN</t>
  </si>
  <si>
    <t>´-Jovenes investigadores apoyados
- Investigaciones realizadas
- Instituto de investigación creados</t>
  </si>
  <si>
    <t>Convenios de Cooperación</t>
  </si>
  <si>
    <t xml:space="preserve">SGR - Asignación para la inversión en ciencia, tecnología e innovación </t>
  </si>
  <si>
    <t>Se requiere una mesa interna y apoyo jurídico, para preparar el anexo del acto administrativo de cierre, con el fin de pasarlo a estado termiado y dar las explicaciones de la ejecución reportada en gesproy y la del acta de liquidacion, para evitar reprográmación y que quede cerrado.</t>
  </si>
  <si>
    <t>YEIMI MONTAÑA DÍAZ</t>
  </si>
  <si>
    <t>2013000100022</t>
  </si>
  <si>
    <t>Desarrollo Económico</t>
  </si>
  <si>
    <t>Implementación DE UN PROGRAMA PARA EL DESARROLLO DE PRODUCTOS BIOTECNOLoGICOS PARA EL SECTOR AGRiCOLA EN EL DPTO DE SUCRE.</t>
  </si>
  <si>
    <t>DESARROLLAR BIOPRODUCTOS PARA EL CONTROL DE ENFERMEDADES DE CULTIVOS DE ARROZ Y ÑAME</t>
  </si>
  <si>
    <t xml:space="preserve">´- Personas Beneficiadas con las transferencias tecnológicas
- Cadenas productivas apoyadas con recursos
- Especias Vegetales Evaluadas  
- Muestras recolectadas y conservadas de material genético invitro
 - Proyectos cofinanciados en ciencia y tecnología
Laboratorios regionales adecuados </t>
  </si>
  <si>
    <t>Teniendo en cuenta las reuniones realizadas para avanzar en el cierre del proyecto y los compromisos allí establecidos, se solicita remitir la información actualizada sobre el estado de dichos compromisos. Así mismo, se requiere enviar las actas de liquidación de los contratos suscritos en el marco del proyecto. Adicionalmente, se solicita coordinar una mesa de trabajo con el fin de definir el futuro del proyecto y las acciones necesarias para su cierre.</t>
  </si>
  <si>
    <t xml:space="preserve">NO hay reporte </t>
  </si>
  <si>
    <t>Proyecto terminado en espera de actas de liquidación para cerrar</t>
  </si>
  <si>
    <t>2013000100074</t>
  </si>
  <si>
    <t>Educación</t>
  </si>
  <si>
    <t>Implementación PROGRAMA DE FORMACIoN DE CAPACIDADES EN CIENCIA, TECNOLOGiA E INNOVACIoN EN EL DEPARTAMENTO DE SUCRE, CARIBE</t>
  </si>
  <si>
    <t>Busca la formación en campos especializados para profesionales del departamento de Sucre.</t>
  </si>
  <si>
    <t>´- Estudiantes beneficiados del programa de formación doctoral 
- Becas Otorgadas
- Beneficiarios de actividades de formación 
- Beneficiarios de subsidios educativos
- Cupos educativos ofrecidos 
- Estudiantes beneficiados
- Investigaciones Ejecutadas
- Eventos de sensibilización y apropiación de proyectos
- Grupos interdiscipinarios conformados con el fin de fortalecer la investigación en la universidad</t>
  </si>
  <si>
    <t>CONTRATADO EN EJECUCIÓN</t>
  </si>
  <si>
    <t xml:space="preserve">En ejecución                                                          </t>
  </si>
  <si>
    <t>Teniendo en cuenta la prórroga del proyecto, el avance de ejecución del 95,65 % y el envío de una nueva reprogramación, se solicita la realización de una mesa de trabajo con el fin de revisar y reestructurar dicha reprogramación, toda vez que actualmente se encuentra bajo metodología 1 y, conforme a los lineamientos vigentes de Gesproy y el DNP, debe ajustarse a metodología 2.</t>
  </si>
  <si>
    <t>Proyecto en estado de ejecución, cuenta con prórroga hasta 2028, por lo cual se requiere  reprogramación; sin embargo, esta no se ha realizado debido a que la información remitida se presentó en Metodología 1 y no en Metodología 2. Actualmente, no se ha recibido respuesta por parte de la sectorial, lo cual está geenrando reporte negativo en el IGPR del proyecto.</t>
  </si>
  <si>
    <t>Todo el Departamento de Sucre</t>
  </si>
  <si>
    <t>2016000020007</t>
  </si>
  <si>
    <t>Infraestructura</t>
  </si>
  <si>
    <t>REHABILITACIÓN DE LA VIA SUCRE - LA GUARIPA - EL CAUCHAL, MUNICIPIOS DE SUCRE,  MAJAGUAL Y SAN BENITO ABAD EN EL DEPARTAMENTO DE SUCRE</t>
  </si>
  <si>
    <t xml:space="preserve">Se Mejorarán 56,32 km de vía incluyendo la construcción de 91 boxcoulvert y 4 puentes en la vía Sucre - la Guaripa - el Cauchal </t>
  </si>
  <si>
    <t>TRANSPORTE</t>
  </si>
  <si>
    <t>´- Obras de protección y adecuación realizadas
- Puentes en la red terciaria construídos
- Kilómetros de red vial rehabilitados y mantenidos</t>
  </si>
  <si>
    <t>Obra pública</t>
  </si>
  <si>
    <t>SGR - Asignación para la inversión regional 60%</t>
  </si>
  <si>
    <t>Para el mes de febrero se anexó liquidación de la obra del proyecto, sin embargo, se presentan inconsistencia entre el valor liquidado y lo ejecutado en la plataforma Gesproy, por lo que se solicita mesa de trabajo para coordinar valores y poder dar cierre al proyecto.</t>
  </si>
  <si>
    <t>Se encuentra en trámites el acta de liquidación del contrato de interventoría.</t>
  </si>
  <si>
    <t>Proyecto terminado, la sectorial remitió en el mes de febrero la  liquidación pendiente del cntrato de obra, sin embargo, se está a la espera de mesa de trabajo debido a inconsistencias en los valores y se encuentra en estructuración el acta de liquidación del contrato de interventoría. Se encuentra finalizado desde agosto 2024.</t>
  </si>
  <si>
    <t>SERGIO VILLALBA MERCADO</t>
  </si>
  <si>
    <t>San Benito Abad, Majagual, Sucre</t>
  </si>
  <si>
    <t>2016000100048</t>
  </si>
  <si>
    <t>FORTALECIMIENTO DE CAPACIDADES EN CTEI EN NIÑOS, NIÑAS Y JOVENES DE LOS ESTABLECIMIENTOS EDUCATIVOS A TRAVES DEL PROGRAMA ONDAS EN EL DEPARTAMENTO DE SUCRE</t>
  </si>
  <si>
    <t xml:space="preserve">Se busca contribuir al fortalecimiento de una cultura CTel en el departamento de sucre por medio de la formación y desarrollo de grupos de investigación en las instituciones educativas. </t>
  </si>
  <si>
    <t xml:space="preserve">´-Medios de divulgación en ciencia, tecnología e  innovación financiados.
- Informes de ejecución aprobados
- Contenidos digitales desarrollados
- Equipos adquiridos 
- Evaluaciones de resultados realizadas
- Proyectos apoyados por el programa ondas
- Informes de ejecución aprobados </t>
  </si>
  <si>
    <t xml:space="preserve">Liquidado                                                             </t>
  </si>
  <si>
    <t>SGR - Asignación para la inversión en ciencia, tecnología e innovación</t>
  </si>
  <si>
    <t xml:space="preserve"> Proyecto se encuentra terminado con sus contratos liquidados, los inconvenientes presentes en el cargue de la información es en el contrato de interventoría CM-003-2018, ya que a la hora de subir la liquidación no permite cargarse los decimales y no cierra, además el proyecto presenta un error en el cargue, hay una información de ejecución reportada que no coincide con lo pagado, se deben reportar aproximadamente   $ 9.966.598,15, para completar lo pagado con lo ejecutado.
Además se solicitó a la sectorial el cuestionario de beneficiarios y sostenibilidad para su cierre.</t>
  </si>
  <si>
    <t>20170000020006</t>
  </si>
  <si>
    <t>MEJORAMIENTO EN PAVIMENTO ASFALTICO DE LA VÍA LAS TABLITAS - SAN MARCOS, MUNICIPIOS DE  EL ROBLE, CAIMITO Y SAN MARCOS,  DEPARTAMENTO DE  SUCRE</t>
  </si>
  <si>
    <t>40.96 km de vías terciarias mejoradas y 10 puentes construidos sobre la vía terciaria mejorada.</t>
  </si>
  <si>
    <t>´- Vía terciaria mejorada
- Puente construído en vía terciaria existente</t>
  </si>
  <si>
    <t>Se solicita remitir el acta final, el registro fotográfico de la ejecución final, el documento de otrosí modificatorio y la aprobación de pólizas conforme a lo establecido en dicho otrosí y en el acta final. Cabe resaltar que el proyecto presenta un avance de ejecución del 91,60 % y, a la fecha, no se ha recibido respuesta a las solicitudes de reprogramación realizadas en reiteradas ocasiones. Así mismo, el proyecto contaba con un horizonte hasta junio de 2024 y, pese a que la obra se encuentra finalizada, en la plataforma Gesproy continúa registrado en estado “CONTRATADO EN EJECUCIÓN”, por lo que se solicita dar pronta atención a lo requerido y realizar la respectiva actualización.</t>
  </si>
  <si>
    <t>Se encuentra en trámite las actas de liquidación del contrato de obra e interventoría.</t>
  </si>
  <si>
    <t>El proyecto se encuentra reportado como terminado por la sectorial, no obstante, en reiteradas ocasiones se ha solicitado la reprogramación necesaria para su cierre, sin que a la fecha se haya recibido respuesta. Actualmente, en la plataforma Gesproy el proyecto continúa en estado “Contratado en ejecución”, con horizonte vencido desde junio de 2024, situación que está generando afectación negativa en el indicador IGPR. Si bien se han remitido actas finales, es importante precisar que, mientras no se realice la respectiva reprogramación, no es posible efectuar el cierre del proyecto en la plataforma.</t>
  </si>
  <si>
    <t>El Roble, Caimito, San Marcos</t>
  </si>
  <si>
    <t>2017000100029</t>
  </si>
  <si>
    <t>Aplicación de técnicas de ingeniería que aumente la resiliencia de los agroecosistemas a la variabilidad climática en el Departamento de   Sucre</t>
  </si>
  <si>
    <t xml:space="preserve">Evaluar la resiliencia frente a la variabilidad climática de 200 unidades productivas seleccionadas de las cinco sub regiones en el Departamento de Sucre </t>
  </si>
  <si>
    <t>´- Artículos publicados en revistas indexadas nacionales e internacionales
- Libros y/o capítulos de libros resultados de investigación
- Obras y/o productos de investigación, creación en artes, arquitectura y diseño que cumplen con los requerimientos mínimos de calidad exigidos por colciencias</t>
  </si>
  <si>
    <t>Interadministrativos</t>
  </si>
  <si>
    <t>Teniendo en cuenta que el proyecto se encuentra en estado “Terminado” y que se han realizado varias reuniones orientadas a su cierre, se solicita remitir el acta de liquidación y/o los avances de los compromisos establecidos, con el fin de conocer el progreso del proceso de cierre del proyecto, así como las acciones adoptadas y/o las modificaciones que se hayan presentado.</t>
  </si>
  <si>
    <t xml:space="preserve">No hay reporte </t>
  </si>
  <si>
    <t xml:space="preserve">LUIS FERNANDO ARRIETA PINZÓN </t>
  </si>
  <si>
    <t>Corozal, San Onofre, Morroa, Majagual, San Marcos</t>
  </si>
  <si>
    <t>2017000100035</t>
  </si>
  <si>
    <t>INVESTIGACIÓN DE LA EFECTIVIDAD Y EFICIENCIA DE LA FICOREMEDIACIÓN PARA LA RECUPERACIÓN DE UN ECOSISTEMA HÍDRICO Y SU CAPACIDAD PRODUCTIVA EN EL DEPARTAMENTO DE  SUCRE</t>
  </si>
  <si>
    <t>Evaluar la calidad física, química y microbiológica del agua y sus afectaciones en la integridad ecológica y ambiental del CCSA.</t>
  </si>
  <si>
    <t xml:space="preserve">´- Artículos publicados en revistas indexadas nacionales e internacionales
- Libros y/o capítulos de libros resultados de investigación
</t>
  </si>
  <si>
    <t>·         Teniendo en cuenta las reuniones realizadas para avanzar en el cierre del proyecto y los compromisos allí establecidos, se solicita remitir la información actualizada sobre el estado de dichos compromisos. Así mismo, se requiere enviar las actas de liquidación de los contratos suscritos en el marco del proyecto. Adicionalmente, se solicita coordinar una mesa de trabajo con el fin de definir el futuro del proyecto y las acciones necesarias para su cierre.</t>
  </si>
  <si>
    <t>San Benito Abad</t>
  </si>
  <si>
    <t>2017002700058</t>
  </si>
  <si>
    <t>MEJORAMIENTO EN PAVIMENTO ASFÁLTICO DE LA VÍA BERRUGAS - SAN ONOFRE  Y RAMAL RINCÓN DEL MAR, MUNICIPIO DE SAN ONOFRE, DEPARTAMENTO DE     SUCRE</t>
  </si>
  <si>
    <t>MEJORAMIENTO DEL PAVIMENTO ASFALTICO DE LA VIA BERRUGA, SAN ONOFRE Y RINCON DEL MAR EN EL MUNICIPIO DE SAN ONOFRE</t>
  </si>
  <si>
    <t>´- Puente construído en vía secundaria existente 
- Vías regionales o urbanas inventariadas
- Vía secundaria mejorada</t>
  </si>
  <si>
    <t xml:space="preserve">SGR - Asignaciones directas
SGR - Asignación para la inversión local según NBI y municipios de cuarta, quinta y sexta categoría
SGR Asignación para la paz - proyectos de infraestructura de transporte para la implementación del acuerdo de paz.
SGR Asignación para la paz - proyectos de infraestructura de transporte para la implementación del acuerdo de paz
</t>
  </si>
  <si>
    <t>Teniendo en cuenta que el proyecto se encuentra en estado “Terminado”, se solicita remitir el acta de liquidación y/o las acciones tomadas frente al proyecto, así como las pólizas actualizadas con el acta final del contrato con su respectiva aprobación para proceder con el cierre del proyecto en el aplicativo Gesproy- SGR.</t>
  </si>
  <si>
    <t>Se encuentra en revisión el acta de liquidación del contrato de obra e interventoría por parte de los contratistas.</t>
  </si>
  <si>
    <t>El proyecto se encuentra terminado desde febrero de 2024 y actualmente está a la espera de la suscripción del acta de liquidación, requisito necesario para proceder con su cierre.</t>
  </si>
  <si>
    <t>San Onofre</t>
  </si>
  <si>
    <t>2020000020058</t>
  </si>
  <si>
    <t>Implementación de agronegocios hortofrutícolas intensivos con pequeños productores de los municipios de Sucre Guaranda y Majagual en el departamento de  Sucre</t>
  </si>
  <si>
    <t xml:space="preserve">Establecer 300 hectáreas de cultivo hortofrutícola (Melón, patilla, Berenjena y plátano) con un plan de asistencia técnica para los 300 productores agropecuarios de los municipios de Majagual, Sucre y Guaranda, Departamento de Sucre. </t>
  </si>
  <si>
    <t>AGRICULTURA Y DESARROLLO RURAL</t>
  </si>
  <si>
    <t>´- Organizaciones de productos formales apoyadas
- Productores apoyados con activos productivos y de comercialización
- Pequeños productores asistidos técnicamente</t>
  </si>
  <si>
    <t xml:space="preserve">Interventoría                                                         </t>
  </si>
  <si>
    <t xml:space="preserve">Departamento de Sucre, SGR - Asiganacion para la inversion regional 40% </t>
  </si>
  <si>
    <t>”. Conforme a la información recibida el mes anterior, en la cual se indicó que el proyecto se encuentra suspendido, se solicita informar el estado actual del mismo, indicando si continúa en suspensión o si ya fue reiniciado. En caso de haberse producido el reinicio, se solicita remitir el acta de reinicio correspondiente, así como las modificaciones contractuales y la reprogramación del proyecto.</t>
  </si>
  <si>
    <t xml:space="preserve">Continúa suspendido </t>
  </si>
  <si>
    <t>El proyecto se encuentra suspendido desde septiembre de 2025 y presenta horizonte de ejecución hasta el mismo mes. Actualmente está a la espera de su reinicio, por lo cual se debe realizar seguimiento permanente y, una vez se autorice dicho reinicio, adelantar la correspondiente reprogramación, con el fin de ampliar el horizonte del proyecto y garantizar la continuidad de su ejecución. Adicionalmente, el proyecto presenta un PAC y recursos congelados; actualmente se adelanta el proceso correspondiente y se desarrollan mesas de trabajo con el DNP para resolver dicha situación.</t>
  </si>
  <si>
    <t>YEIMI MONTAÑA DÍAZ
ASDRUVAL AVILEZ DÍAZ</t>
  </si>
  <si>
    <t>2020000020076</t>
  </si>
  <si>
    <t>Elaboración del Plan Vial departamental y los Planes Viales municipales de la red vial secundaria y terciaria en el departamento de  Sucre</t>
  </si>
  <si>
    <t xml:space="preserve">se realizará el Levantamiento de INVENTARIO VIAL de la red secundaria del Departamento y de la red terciaria de cada municipio. - Elaboración del PLAN VIAL DEPARTAMENTAL - Elaboración de los 26 PLANES VIALES MUNICIPALES. - CATEGORIZACIÓN vial del Departamento y elaboración de la - CATEGORIZACIÓN vial de los 26 municipios del Departamento de Sucre . para dar cumplimiento con esto a los requerimientos, pilares y políticas del gobierno nacional, departamental y municipal. </t>
  </si>
  <si>
    <t>´- Documentos de investigación elaborados
- Documentos de planeación</t>
  </si>
  <si>
    <t>Se solicita remitir acta de liquidación de los contratos y sostenibilidad del proyecto para proceder con el cierre del proyecto en el aplicativo Gesproy-SGR.</t>
  </si>
  <si>
    <t>Se encuentra en revisión el acta de liquidación del contrato de interventoría por parte de los contratistas.</t>
  </si>
  <si>
    <t>El proyecto se encuentra terminado desde  octubre de 2024  y actualmente está a la espera de la suscripción del acta de liquidación del contrato de interventoría y del acta donde se identifique que ya se hizo entrega de todos los planes viales a los diferentes Municipios.</t>
  </si>
  <si>
    <t>Morroa, Colosó, San Marcos, San José de Toluviejo, Coveñas, Majagual, Sucre, Ovejas, San Benito Abad, Santiago de Tolú, San Pedro, Los Palmitos, Sincelejo, Corozal, Buenavista, Caimito, Sampués, Guaranda, San Luis de Sincé, San Onofre, San Juan de Betulia, El Roble, Palmito, Galeras, La Unión, Chalán</t>
  </si>
  <si>
    <t>2020000100644</t>
  </si>
  <si>
    <t>Implementación de estrategias para la adopción de procesos de innovación en las unidades productivas agropecuarias que atiendan las problemáticas derivadas por la emergencia económica social y ecológica por el COVID-19 en el departamento de  Sucre</t>
  </si>
  <si>
    <t xml:space="preserve">Financiar 267 empresarios y emprendedores innovadores para que alcancen el máximo potencial de sus empresas, mediante 4 retos o fases que integran acciones de transferencia de tecnología y conocimiento </t>
  </si>
  <si>
    <t>´- Organizaciones beneficiadas a través de la estrategia de gestión I+D+I
- Proyectos financiados para el desarrollo tecnológico y la innovación</t>
  </si>
  <si>
    <t>·         ”. El proyecto se encuentra en ejecución desde el 15 de diciembre de 2021; no obstante, no se ha reportado información de ejecución en la plataforma desde el mes de octubre de 2024, situación que genera alertas para el adecuado seguimiento y control del proyecto. El mismo cuenta con horizonte de ejecución hasta diciembre de 2025 y, a la fecha, no se dispone de información actualizada ni se ha recibido pronunciamiento por parte de la supervisión respecto a su estado actual. En atención a lo anterior, se solicita la programación de una mesa de trabajo con el fin de revisar el avance del proyecto, definir las acciones de seguimiento correspondientes y garantizar la actualización oportuna de la información en la plataforma, así como la remisión de la información relacionada con las modificaciones realizadas o las actuaciones que procedan para el proyecto.</t>
  </si>
  <si>
    <t>El proyecto cuenta con horizonte de ejecución hasta diciembre de 2025 y, a la fecha, no se dispone de información actualizada ni se ha recibido respuesta por parte de la sectorial responsable respecto al estado actual del mismo</t>
  </si>
  <si>
    <t>2020002700073</t>
  </si>
  <si>
    <t>Fortalecimiento  A ORGANIZACIONES DE PESCADORES ARTESANALES MEDIANTE DOTACIÓN DE EQUIPOS DE PESCA ASISTENCIA TÉCNICA Y REPOBLAMIENTO DE BOCACHICO EN LOS COMPLEJOS CENAGOSOS DE LA SUBREGIÓN SAN JORGE Y LA MOJANA  DEL DEPARTAMENTO DE   Sucre</t>
  </si>
  <si>
    <t xml:space="preserve">Fortalecer 12 Asociaciones de pescadores artesanales para incrementar la productividad íctica en los complejos cenagosos de la Subregión San Jorge y La Mojana del Departamento de Sucre. </t>
  </si>
  <si>
    <t>´- Servicio de divulgación y socialización 
- Servicios de apoyo al fomento de la pesca y la agricultura (producto principal del proyecto)</t>
  </si>
  <si>
    <t>Prestación de Servicios</t>
  </si>
  <si>
    <t>Teniendo en cuenta que el proyecto se encuentra en estado “Terminado”, se solicita el acta de liquidación y/o las acciones adelantadas frente al proyecto, así como las modificaciones realizadas y las pólizas actualizadas aprobadas con acta final.</t>
  </si>
  <si>
    <t>San Marcos, Caimito, San Benito Abad, Guaranda, Sucre, Majagual</t>
  </si>
  <si>
    <t>2021000020052</t>
  </si>
  <si>
    <t>Mejoramiento en pavimento rígido de la vía la unión -limites con córdoba en el departamento de  Sucre</t>
  </si>
  <si>
    <t xml:space="preserve">Construcción de 4,17 km de pavimento rígido en la vía que intercomunica al municipio de la Unión con el corregimiento las Palmitas en los límites del municipio de Sahagún Córdoba. </t>
  </si>
  <si>
    <t>´-  Vías regionales o urbanas inventariadas 
- Vía terciaria mejorada</t>
  </si>
  <si>
    <t>SGR - Asignación para la inversión regional 40%</t>
  </si>
  <si>
    <t>Se solicita remitir el avance de ejecución correspondiente al mes de abril de 2026 o, en su defecto, la información sobre las modificaciones realizadas al proyecto, junto con las pólizas actualizadas derivadas del reinicio o de las prórrogas, debidamente aprobadas. Así mismo, considerando que el proyecto registra un horizonte en Gesproy hasta el mes de abril se requiere anexar el acta final en caso de que haya finalizado; de lo contrario, deberá remitirse la documentación correspondiente a la prórroga</t>
  </si>
  <si>
    <t>Avance de ejecución del mes de abril de 2026. En formato Excel.
Documento de soporte de avance de ejecución mes de abril 2026.
Informe de balance final de obra
Acta de terminación del contrato de obra
Acta de terminación del contrato de interventoría</t>
  </si>
  <si>
    <t>Proyecto se encuentra terminado  desde el mes de abril de 2026, sE solicita actualización de polizas con todas las modificaciones presentadas en el proyecto para poderlo pasar a estado terminado</t>
  </si>
  <si>
    <t>La Unión</t>
  </si>
  <si>
    <t>2021000100333</t>
  </si>
  <si>
    <t>Fortalecimiento de las capacidades en CTeI mediante la apropiación social del conocimiento para impulsar el desarrollo productivo y las industrias creativas en el departamento de  Sucre</t>
  </si>
  <si>
    <t xml:space="preserve">Fortalecimiento de los conocimientos científicos, tecnológicos e innovadores para el desarrollo de soluciones sostenibles a problemáticas locales de las comunidades del departamento. </t>
  </si>
  <si>
    <t>´- Estrategias de intercambio de conocimiento científico-tecnológico y de innovación con otros saberes financiadas
- Estrategias de gestión del conocimiento en cultura y apropiación social de ciencia, tecnología e innovación realizados.
- Estrategias de fomento de la participación ciudadana en ciencia, tecnología, e innovación implementadas</t>
  </si>
  <si>
    <t>SGR - Asignación para la inversión en ciencia, tecnología e innovación - Convocatorias</t>
  </si>
  <si>
    <t>Teniendo en cuenta que el proyecto se encuentra con una ejecución física del 100%, se solicita remitir acta final y pólizas actualizadas aprobadas de los contratos y/o modificaciones si se han presentado</t>
  </si>
  <si>
    <t>El proyecto se encuentra físicamente terminado; no obstante, en la plataforma continúa registrándose como en ejecución, motivo por el cual el DNP lo sigue calificando bajo dicha condición, al no haberse reportado el acta final desde septiembre de 2024</t>
  </si>
  <si>
    <t>2021000100361</t>
  </si>
  <si>
    <t>Fortalecimiento de establecimientos educativos oficiales que implementen la jornada única mediante la apropiación social del conocimiento para desarrollar capacidades y habilidades en CTeI en el departamento de  Sucre</t>
  </si>
  <si>
    <t xml:space="preserve">Mejorar las capacidades en CTeI para el fortalecimiento de habilidades y capacidades científicas, tecnológicas y de innovación en niveles de educación básica y media de establecimientos educativos oficiales con Proyecto Educativo Institucional (PEI) </t>
  </si>
  <si>
    <t>Teniendo en cuenta que el proyecto se encuentra con una ejecución física del 100%, se solicita remitir acta final con pólizas actualizadas y aprobadas y/o modificaciones si se han presentado.</t>
  </si>
  <si>
    <t>El proyecto se encuentra físicamente terminado; sin embargo, en la plataforma continúa registrándose como en ejecución, razón por la cual el DNP lo sigue calificando bajo dicha condición, al no haberse reportado el acta final desde septiembre de 2024</t>
  </si>
  <si>
    <t>Majagual, San Benito Abad, Corozal, Ovejas, San Onofre</t>
  </si>
  <si>
    <t>2021000100370</t>
  </si>
  <si>
    <t>Incremento  de la innovación y desarrollo tecnológico en el tejido empresarial para el fortalecimiento de la competitividad del departamento de  Sucre</t>
  </si>
  <si>
    <t xml:space="preserve">Aumentar los niveles de Innovación en las Micro, Pequeñas y Medianas Empresas del departamento </t>
  </si>
  <si>
    <t xml:space="preserve">´- Proyectos financiados para el desarrollo tecnológico y la innovación </t>
  </si>
  <si>
    <t>Teniendo en cuenta que el proyecto se encuentra en estado “Terminado”, se solicita remitir pólizas con acta final aprobadas y actas de liquidación para cada uno de los contratos suscritos y/o modificaciones si se han presentado</t>
  </si>
  <si>
    <t>2021000100520</t>
  </si>
  <si>
    <t>Fortalecimiento de Capacidades en CTeI para la conservación preservación y restauración de los ecosistemas a través de la consolidación de negocios verdes en el Departamento de   Sucre</t>
  </si>
  <si>
    <t>Fortalecer las capacidades para la conservación, preservación y restauración de los ecosistemas a traves de los negocios verdes en el Departamento de sucre.</t>
  </si>
  <si>
    <t>´- Cursos especializados para mejorar competencias de desarrollo tecnológico e innovación a nivel industrial
- Proyectos financiados para el desarrollo tecnológico y la innovación 
- Organizaciones beneficiadas a través de la estrategia de gestión de la I+D+I</t>
  </si>
  <si>
    <t>SGR - Asignación para la ciencia, tecnología e innovación – Convocatorias 2021 -Ambiente y desarrollo sostenible</t>
  </si>
  <si>
    <t>Conforme a la información remitida el mes anterior, en la que se indicó el reinicio y finalización de la ejecución física del proyecto, se solicita remitir el acta de reinicio, la actualización de pólizas, la ejecución del último mes (marzo) y el acta final, teniendo en cuenta que dicha ejecución no fue reportada, lo que afecta la calificación del proyecto, adicionalmente, se recuerda que la plataforma GESPROY no permite cargar meses vencidos, por lo que el retraso en el envío puede generar inconsistencias para su cierre.</t>
  </si>
  <si>
    <t>Se envía acta de reinicio del
proyecto. A la espera del informe
final para su respectivo informe y
firma del acta final.</t>
  </si>
  <si>
    <t>Este Proyecto  se encontraba suspendido desde el 11 de diciembre de 2025 y fue reiniciado el 12 de marzo de 2026. De acuerdo con lo informado por la sectorial, el proyecto culminó en el mes de marzo, sin embargo, no fue posible realizar la reprogramación debido a que no se remitió la ejecución correspondiente a dicho mes, lo cual impide su cargue en la plataforma.
Actualmente, se está a la espera de que la sectorial remita  la ejecución del último mes, con el fin de proceder a pasar a estado "terminado" el proyecto.</t>
  </si>
  <si>
    <t xml:space="preserve">SERGIO VILLALBA MERCADO
ASDRUVAL AVILEZ DÍAZ
</t>
  </si>
  <si>
    <t>2021002700109</t>
  </si>
  <si>
    <t>Construcción del Laboratorio de salud pública del Departamento de  Sucre</t>
  </si>
  <si>
    <t xml:space="preserve">Construcción de Laboratorio de Salud Pública del Departamento de Sucre con un área construida de 1.410,82 m2 constituidas con 4 unidades, unidad para la vigilancia de eventos de interés en salud pública, unidad para la vigilancia de factores de riesgo del ambiente y del consumo, unidad técnica común, y unidad de apoyo. </t>
  </si>
  <si>
    <t>SALUD Y PROTECCIÓN SOCIAL</t>
  </si>
  <si>
    <t xml:space="preserve">´- Laboratorios construidos </t>
  </si>
  <si>
    <t>”. Se solicita remitir avance de ejecución del mes de abril de 2026 y/o modificaciones si se han presentado, además remitir pólizas actualizadas con pantallazo de aprobación de la modificación No 1 del contrato de interventoría, y pólizas con aprobación de los modificatorios No 2(adición de recursos) y modificación No 4 (Prórroga).</t>
  </si>
  <si>
    <t>Avance de ejecución del mes de abril de 2026. En formato Excel.</t>
  </si>
  <si>
    <t>Proyecto en estado de ejecución, con contrato en ejecución y calificación de 90 puntos en el mes de febrero, conforme a su avance de ejecución, teniendo en cuenta el costo, la programación y la brecha entre lo físico y lo financiero. ( A la espera de que se remita información de algunas pólizas de los contratos para ser registrada en la plataforma)</t>
  </si>
  <si>
    <t>2021002700138</t>
  </si>
  <si>
    <t>Construcción de pavimento en concreto rígido en vías urbanas del barrio villa angela en el municipio de Sincelejo departamento de  Sucre</t>
  </si>
  <si>
    <t xml:space="preserve">La alternativa de solución es la construcción de pavimento en concreto rígido de una longitud de 386ml con dos carriles (vía bidireccional o de doble sentido) y confinada con andenes y bordillos en ambos extremos, la vía consta de una sección transversal de 6 metros de ancho. Incluye además actividades de Gestión ambiental y social, Plan de manejo de Transito, apoyo a la supervisión e Interventoría. Con un tiempo de ejecución de 6 Meses y 6 meses cierre financiero (Para un total de 12 meses). </t>
  </si>
  <si>
    <t>via urbana mejorada</t>
  </si>
  <si>
    <t>PARA CIERRE</t>
  </si>
  <si>
    <t>Proyecto en estado ‘Para cierre’, en proceso de elaboración del acto administrativo requerido para formalizar su cierre</t>
  </si>
  <si>
    <t>2021002700163</t>
  </si>
  <si>
    <t>Estudios  y diseños para la construcción y dotación de una estación de bomberos en el municipio de Santiago de Tolú Departamento de  Sucre</t>
  </si>
  <si>
    <t>Compra de predio y realización de estudios y diseños de arquitectura e ingeniería</t>
  </si>
  <si>
    <t>GOBIERNO TERRITORIAL</t>
  </si>
  <si>
    <t>Estudios de preinversión elaborados</t>
  </si>
  <si>
    <t>Compraventa</t>
  </si>
  <si>
    <t>SGR - Asignaciones directas</t>
  </si>
  <si>
    <t>Proyecto terminado, pendiente por cerrar  en Gesproy, debido a errores en el aplicativo. Caso escalado a DNP, pero, no se ha contado con respuestas concretas, la problemática radica en que en Gesproy aparece una supervisión por parte del DNP, la cual nunca se le ha dado "aprueba y envía" por parte de ellos y presenta alertas que no permiten cerrar este proyecto.</t>
  </si>
  <si>
    <t>Santiago de Tolú</t>
  </si>
  <si>
    <t>2021002700184</t>
  </si>
  <si>
    <t>Apoyo a la asociatividad para el Desarrollo Sostenible del Sector Productivo en el municipio de Sincelejo del departamento de  Sucre</t>
  </si>
  <si>
    <t xml:space="preserve">Brindar el servicio de asistencia técnica y acompañamiento productivo y empresarial a 180 personas que hacen parte de los vendedores ambulantes del municipio de Sincelejo </t>
  </si>
  <si>
    <t>COMERCIO, INDUSTRIA Y TURISMO</t>
  </si>
  <si>
    <t>personas beneficiadas</t>
  </si>
  <si>
    <t>2021002700364</t>
  </si>
  <si>
    <t>Rehabilitación Y MEJORAMIENTO DE LA ZONA TURÍSTICA DE LA AVENIDA PRIMERA FASE II ENTRE LA CALLE 15 Y LA CALLE 25 DEL MUNICIPIO DE SANTIAGO DE TOLÚ DEPARTAMENTO DE  Sucre</t>
  </si>
  <si>
    <t xml:space="preserve">Intervención del espacio público en el Malecón de la Playa, desde la calle 15 hasta la calle 25, adecuándolo para la circulación y movilidad segura para los turistas y habitantes del municipio de Santiago de Tolú e integrándolo con la infraestructura existente, que va desde la carrera 15 hasta el puente del aeropuerto; la cual tiene una longitud aproximada de 786.83 metros lineales. </t>
  </si>
  <si>
    <t xml:space="preserve">´- Equipamientos construidos </t>
  </si>
  <si>
    <t xml:space="preserve">Suspendido                                                            </t>
  </si>
  <si>
    <t>De conformidad con lo informado en el mes de febrero, el proyecto se encuentra suspendido. En este sentido, se requiere información sobre el estado del mismo. En caso de que el proyecto haya sido reiniciado, se solicita remitir la minuta de reinicio, junto con las pólizas actualizadas y la respectiva reprogramación del proyecto</t>
  </si>
  <si>
    <t>El contrato de obra e interventoría se encuentran suspendidos.</t>
  </si>
  <si>
    <t>Proyecto en estado “en ejecución”, con contrato actualmente suspendido y en espera de su reinicio. Esta situación obedece a afectaciones en la obra derivadas del  frente frío, actualmente se encuentran en evaluación los daños y en definición las acciones a seguir. Se encuentra suspendido desde diciembre de 2025</t>
  </si>
  <si>
    <t>2022000020011</t>
  </si>
  <si>
    <t>Implementación de las rutas de emprendimiento y empleabilidad en el marco de la estrategia Sucre Escucha en el departamento de     Sucre</t>
  </si>
  <si>
    <t>Implementación de las rutas de emprendimiento y empleabilidad para 2600 jóvenes entre 18 y 28 años de los 26 municipios del departamento de Sucre. En donde se contemplan 1820 jóvenes en la ruta del emprendimiento y 780 jóvenes en la ruta de la empleabilidad, caracterizados como población vulnerable y teniendo como distribución 50% hombres y 50% mujeres.</t>
  </si>
  <si>
    <t>INCLUSIÓN SOCIAL Y RECONCILIACIÓN</t>
  </si>
  <si>
    <t>´- Malecón construído</t>
  </si>
  <si>
    <t>”. Se solicita remitir acta de aprobación de pólizas de acuerdo con el acta final y acta de liquidación para proceder al cierre del proyecto</t>
  </si>
  <si>
    <t>2022000020043</t>
  </si>
  <si>
    <t>Mejoramiento de vías urbanas en los Municipios de Colosó y Morroa Departamento de    Sucre</t>
  </si>
  <si>
    <t xml:space="preserve">Mejoramiento de 1,23 Kilómetros de vías urbanas para la circulación segura de vehículos y peatones en el municipio de Coloso y Morroa en el Departamento de Sucre. </t>
  </si>
  <si>
    <t>´- Hogares con acompañamiento familiar
-Proyectos productivos formulados
- Personas vinculadas a empleo formal para población vulnerable</t>
  </si>
  <si>
    <t>Conforme a la información remitida, la Secretaría de Planeación se encuentra adelantando el trámite correspondiente para la expedición del acto administrativo de cierre del proyecto</t>
  </si>
  <si>
    <t>En espera que el acto administrativo de cierre del proyecto sea entregado por parte de la secretaría de Planeación departamental y subir en plataforma Gesproy.</t>
  </si>
  <si>
    <t>Colosó, Morroa</t>
  </si>
  <si>
    <t>2022002700005</t>
  </si>
  <si>
    <t>Estudios y diseños para la construcción y dotación del centro multipropósito en el municipio de  Santiago de Tolú Sucre</t>
  </si>
  <si>
    <t xml:space="preserve">Estudios y diseños de infraestructura con capacidad para 1200 personas con todos los espacios y requerimientos técnicos y arquitectónicos correspondientes y adquisición de predio con área estimada de 14.697 m2. </t>
  </si>
  <si>
    <t>´-Estudios de preinversion realizados</t>
  </si>
  <si>
    <t>Se solicita remitir el acta de liquidación del proyecto, el formato de sostenibilidad e indicadores, así como las pólizas actualizadas correspondientes al acta final y/o a las modificaciones que se hayan realizado</t>
  </si>
  <si>
    <t>Se encuentra en trámite las actas de liquidación del contrato de consultoría e interventoría.</t>
  </si>
  <si>
    <t>El proyecto se encuentra en estado “Terminado”, a la espera de la suscripción de las actas de liquidación de los contratos, así como del diligenciamiento del formato de sostenibilidad e indicadores, requisitos necesarios para proceder con su cierre. Su fecha de terminación fue en julio de 2025</t>
  </si>
  <si>
    <t>2022002700147</t>
  </si>
  <si>
    <t>Construcción del malecón y adecuación de la avenida primera del municipio de  Sucre</t>
  </si>
  <si>
    <t xml:space="preserve">SE REALIZO LA CONSTRUCCIÓN UN MALECÓN PARA EL DESARROLLO TURÍSTICO REGIONAL EN EL MUNICIPIO DE SUCRE, DEPARTAMENTO DE SUCRE. </t>
  </si>
  <si>
    <t xml:space="preserve">´-Malecón construído </t>
  </si>
  <si>
    <t>Sucre</t>
  </si>
  <si>
    <t>2023002700029</t>
  </si>
  <si>
    <t>Construcción de parques lineales en las Calles 28 y 29 entre Carreras 26 Y 27 en la zona urbana del municipio de Corozal departamento de   Sucre</t>
  </si>
  <si>
    <t>Construcción de 2 parques ubicados en las calles 28 y 29 en el área Urbana del Municipio de Corozal de un área aproximada de 548.10 m2 y 404.27 respectivamente.</t>
  </si>
  <si>
    <t>DEPORTE Y RECREACIÓN</t>
  </si>
  <si>
    <t>Parques construídos</t>
  </si>
  <si>
    <t>Orden de pago de acta final del contrato de obra</t>
  </si>
  <si>
    <t>Corozal</t>
  </si>
  <si>
    <t>2023002700030</t>
  </si>
  <si>
    <t>Mejoramiento en Pavimento Asfáltico de la Vía Varsovia - El Delirio Municipio de Sincelejo Departamento de   Sucre</t>
  </si>
  <si>
    <t xml:space="preserve">Mejorar 3,269 km de pavimento asfáltico de la vía Varsovia El Delirio, tramo localizado en el municipio de Sincelejo que va del K12+324 al K15+593, con un ancho de calzada de 6,3 m; 2 carriles de 3,15 mts cada uno, bermas de 0,8 m de ancho a lado y lado de la vía, con bermas de protección para estabilidad de la carpeta asfáltica y empedrado de protección. </t>
  </si>
  <si>
    <t>Vía secundaria mejorada</t>
  </si>
  <si>
    <t xml:space="preserve">SGR - Asignación para la inversión regional 60%           Vigencias Futuras                 </t>
  </si>
  <si>
    <t>”. Se solicita remitir la ejecución correspondiente al mes de abril de 2026 y/o las modificaciones que hayan sido realizadas, si aplica.</t>
  </si>
  <si>
    <t>Avance de ejecución del mes de abril de 2026.
Documento de soportes de ejecución mes de abril de 2026
Informe quincenal de obra firmado por interventoría – primera quincena de abril
Informe quincenal de obra firmado por interventoría – segunda quincena de abril</t>
  </si>
  <si>
    <t>Proyecto en estado de ejecución, con contrato en ejecución y calificación de 100  puntos en el mes de febrero, conforme a su avance de ejecución, teniendo en cuenta el costo, la programación y la brecha entre lo físico y lo financiero.</t>
  </si>
  <si>
    <t>2023002700076</t>
  </si>
  <si>
    <t>Energía</t>
  </si>
  <si>
    <t>Subsidio al cargo por conexión e instalación interna del servicio de gas natural para usuarios estrato 1 y 2 del departamento de  Sucre</t>
  </si>
  <si>
    <t>Conexión e instalación interna del servicio de gas natural, el cual beneficiará a 5315 usuarios e impactará a 16.477 personas de los estratos 1 y 2 de diferentes corregimientos ubicados en el departamento de Sucre.</t>
  </si>
  <si>
    <t>MINAS Y ENERGÍA</t>
  </si>
  <si>
    <t>Usuarios beneficiados con subsidio a la oferta</t>
  </si>
  <si>
    <t>Se solicita remitir acta final del contrato de obra e interventoría con sus respectivas pólizas actualizadas</t>
  </si>
  <si>
    <t xml:space="preserve">Nos permitimos informar que este presenta un avance del 100 % en su ejecución física. No obstante, se encuentra pendiente la culminación de la ejecución financiera, requisito necesario para proceder con la elaboración del acta final. </t>
  </si>
  <si>
    <t>El proyecto se encuentra finalizado, sin embargo, no se ha remitido el acta final, lo que ocasiona que en la plataforma continúe en estado “en ejecución”, generando una baja calificación.</t>
  </si>
  <si>
    <t>El Roble, Sampués, Galeras, Buenavista, Los Palmitos, Corozal, Ovejas, Colosó, San José de Toluviejo</t>
  </si>
  <si>
    <t>2023002700077</t>
  </si>
  <si>
    <t>Construcción de unidades sanitarias para vivienda rural dispersa de los municipios de San Marcos y San Juan de Betulia en el Departamento de   Sucre</t>
  </si>
  <si>
    <t xml:space="preserve">Mejoramiento de 66 viviendas con la construcción de unidades sanitarias en la zona rural dispersa de los municipios de San Marcos y San Juan de Betulia. </t>
  </si>
  <si>
    <t>VIVIENDA, CIUDAD Y TERRITORIO</t>
  </si>
  <si>
    <t xml:space="preserve">Viviendas beneficiadas con la construcción de unidades sanitarias </t>
  </si>
  <si>
    <t>·         Conforme a la información remitida, la Secretaría de Planeación se encuentra adelantando el trámite correspondiente para la expedición del acto administrativo de cierre del proyecto.</t>
  </si>
  <si>
    <t>San Juan de Betulia, San Marcos</t>
  </si>
  <si>
    <t>2023002700082</t>
  </si>
  <si>
    <t>Implementación del programa de alimentación escolar -PAE- en el Departamento de  Sucre</t>
  </si>
  <si>
    <t xml:space="preserve">Suministrar 3.001.104 raciones de apoyo alimentario complementario a estudiantes en la jornada escolar de establecimientos educativos del Departamento de Sucre </t>
  </si>
  <si>
    <t>EDUCACIÓN</t>
  </si>
  <si>
    <t>Raciones contratadas</t>
  </si>
  <si>
    <t>2023002700134</t>
  </si>
  <si>
    <t>Rehabilitación de la vía secundaria que comunica los municipios de Toluviejo  Colosó en el Departamento de   Sucre</t>
  </si>
  <si>
    <t xml:space="preserve">Mejoramiento de la vía que comunica los municipios de Toluviejo y Colosó del departamento de Sucre, con pavimento flexible. La carretera tiene una longitud aproximada de 12.1 kilómetros, conecta los centros poblados de La Siria (Toluviejo), Coraza, La Estación, Estambul (Colosó) y finaliza en la cabecera municipal de Colosó. </t>
  </si>
  <si>
    <t>Vía secundaria rehabilitada</t>
  </si>
  <si>
    <t>Se solicita remitir el avance de ejecución correspondiente al mes de abril de 2026 y/o las modificaciones realizadas</t>
  </si>
  <si>
    <t>Avance de ejecución del mes de abril de 2026
Documento de soportes de ejecución mes de abril de 2026
Informe quincenal de obra firmado por interventoría – primera quincena de abril
Informe quincenal de obra firmado por interventoría – segunda quincena de abril</t>
  </si>
  <si>
    <t>Proyecto en estado de ejecución, con contrato en ejecución y calificación de 88,7  puntos en el mes de marzo, conforme a su avance de ejecución, teniendo en cuenta el costo, la programación y la brecha entre lo físico y lo financiero.</t>
  </si>
  <si>
    <t>Colosó, San José de Toluviejo</t>
  </si>
  <si>
    <t>2023002700150</t>
  </si>
  <si>
    <t>Fortalecimiento de las líneas productivas del Maíz Mecanizado y Arroz Secano Mecanizado de los pequeños productores afectados por la ola invernal en las Subregiones San Jorge y Mojana en el departamento de  Sucre</t>
  </si>
  <si>
    <t xml:space="preserve">Mejorar las condiciones de producción del arroz secano y del maíz con la entrega de banco de maquinaria a cada una de las 8 asociaciones de los municipios de San Marcos, La unión, Sucre, San Benito, Caimito, Guaranda y Majagual en el Departamento de Sucre . </t>
  </si>
  <si>
    <t>´- Unidades productivas beneficiadas
- Pequeños productores rurales asistidos técnicamente</t>
  </si>
  <si>
    <t>El mes anterior fue remitido por parte de ustedes un informe que no presenta claridad respecto a la ejecución de la actividad “Realizar implementación plan de fortalecimiento organizacional”, por tal razón, se solicita remitir un informe aclaratorio en el que se detalle la línea de tiempo y la fecha real de finalización de dicha actividad. Así mismo, se sugiere realizar una mesa de trabajo con el fin de presentar esta información de manera clara y precis</t>
  </si>
  <si>
    <t>Documento de soportes de ejecución mes de abril de 2026</t>
  </si>
  <si>
    <t>Proyecto pasó a terminado, se debe solicitar liquidación para proceder con su cierre.</t>
  </si>
  <si>
    <t>Sucre, San Marcos, Guaranda, Caimito, La Unión, San Benito Abad, Majagual</t>
  </si>
  <si>
    <t>2023002700171</t>
  </si>
  <si>
    <t>Construcción de Obras para la Mitigación del Riesgo de Inundación y Socavación en el barrio Altos del Rosario en el Municipio de Sincelejo   Sucre</t>
  </si>
  <si>
    <t xml:space="preserve">Construcción de 9.828,35 m2 de obras para la Mitigación del Riesgo de Inundación y Socavación en el Barrio Altos del Rosario, en el Municipio de Sincelejo – Sucre, distribuidos en: la construcción de 5.319,20 m2 de vía en pavimento; construcción de 1.738,11 m2 de andenes; 2.253,51 m2 para la canalización de las aguas a través de canal principal y 517,53 m2 para la canalización de las aguas a través de canal segundario. </t>
  </si>
  <si>
    <t>Obras de infraestructura para la reducción del riesgo de desastres realizadas</t>
  </si>
  <si>
    <t>SGR - Asignaciones Directas</t>
  </si>
  <si>
    <t>Avance de ejecución del mes de abril 2026 y documento soporte de ejecución mes de abril de 2026.</t>
  </si>
  <si>
    <t>Proyecto en estado de ejecución, con contrato en ejecución y calificación de 79,04  puntos en el mes de marzo, conforme a su avance de ejecución, teniendo en cuenta el costo, la programación y la brecha entre lo físico y lo financiero.</t>
  </si>
  <si>
    <t>2023002700175</t>
  </si>
  <si>
    <t>Apoyo al programa de alimentación escolar -PAE- para la vigencia 2024 en los establecimientos educativos oficiales del departamento de   Sucre</t>
  </si>
  <si>
    <t xml:space="preserve">Incrementar o mantener los niveles de permanencia de los niños, niña y jovenes en la jormada academica de los establecimientos educativos oficiales del departamento de Sucre, Beneficiando a 33.560 estudiantes - con 5.169 cupos modalidad complemento almuerzo- 10.712 cupos modalidad complemento am/pm y 17.679 cupos modalidad ración industrializada para un total de 3.624.480 raciones a lo largo del proyecto. </t>
  </si>
  <si>
    <t>Estudiantes beneficiados del programa de alimentación escolar</t>
  </si>
  <si>
    <t xml:space="preserve">SGR - Asignación para la inversión regional 60%    
 Propios-Sucre
 SGP Alimentación Escolar                                                                    </t>
  </si>
  <si>
    <t>Se solicita liquidación del proyecto</t>
  </si>
  <si>
    <t>Proyecto pasó a terminado, falta terminar de agregar contratos y pagos de recursos propios y la liquidación para cerrar el proyecto</t>
  </si>
  <si>
    <t>2023002700177</t>
  </si>
  <si>
    <t>Estudios y Diseños para la Optimización de los Sistemas de Acueducto yo Alcantarillado de las comunidades de El MamónLas PeñasChapineroLas LlanadasLas Brujas y Don Alonso en el Municipio de Corozal; Puerto Viejo en el Municipio de Tolú y Canutalito en el Municipio de Ovejas Departamento de   Sucre</t>
  </si>
  <si>
    <t xml:space="preserve">ELABORACIÓN DE SIETE (7) ESTUDIOS Y DISEÑOS NECESARIOS PARA LA ESTRUCTURACIÓN Y POSTERIOR GESTIÓN DE PROYECTOS PARA LA CONSTRUCCIÓN DE LOS SISTEMAS DE ACUEDUCTO Y ALCANTARILLADO EN LAS COMUNIDADES RURALES DE LOS CORREGIMIENTOS DE EL MAMÓN, LAS PEÑAS, CHAPINERO, LAS LLANADAS, DON ALONSO, VEREDA LAS BRUJAS, DEL MUNICIPIO DE COROZAL; PUERTO VIEJO EN EL MUNICIPIO DE TOLÚ Y CANUTALITO EN EL MUNICIPIO DE OVEJAS. </t>
  </si>
  <si>
    <t>Estudios o diseños realizados</t>
  </si>
  <si>
    <t>·         Se solicita remitir el avance de ejecución correspondiente al mes de abril de 2026 y/o las modificaciones realizadas.</t>
  </si>
  <si>
    <t>Avance de ejecución del mes de abril 2026
Documento de soporte de avance de ejecución mes de abril 2026</t>
  </si>
  <si>
    <t>Proyecto en estado de ejecución, con contrato en ejecución y calificación de 86,96  puntos en el mes de febrero, conforme a su avance de ejecución, teniendo en cuenta el costo, la programación y la brecha entre lo físico y lo financiero.</t>
  </si>
  <si>
    <t>Ovejas, Santiago de Tolú, Corozal</t>
  </si>
  <si>
    <t>2024002700066</t>
  </si>
  <si>
    <t>Cofinanciación Fase 1 de Subsidios al Cargo por Conexión e Instalación Interna del Servicio de Gas Natural para Usuarios Estrato 1 Y 2 del Municipio de   Toluviejo Sucre</t>
  </si>
  <si>
    <t xml:space="preserve">Conexión e instalación de redes internas del servicio de gas natural domiciliario el cual beneficiará a 776 usuarios e impactará a 3991 personas de los estratos 1 y 2 de los corregimientos de Varsovia, La Esperanza y La Siria ubicados en el municipio de Toluviejo en el departamento de Sucre. </t>
  </si>
  <si>
    <t>Viviendas conectadas a la red local de gas combustible</t>
  </si>
  <si>
    <t>Ejecución del proyecto</t>
  </si>
  <si>
    <t>El proyecto fue prorrogado por dos meses mas, quedando su ejecución hasta el 14 de junio de 2026, por lo tanto remitimos el documento de la prorroga No. 4, reprogramación, excel de ejecución y documento de entrega de avance de obras. En cuanto a las pólizas actualizadas con respecto a la prorroga, estas se encuentan en estado de proceso de aprobación.</t>
  </si>
  <si>
    <t xml:space="preserve">Proyecto en estado de ejecución, con contrato en ejecución y calificación de 75 puntos en el mes de marzo, conforme a su avance de ejecución, teniendo en cuenta el costo, la programación y la brecha entre lo físico y lo financiero. </t>
  </si>
  <si>
    <t>San José de Toluviejo</t>
  </si>
  <si>
    <t>2024002700151</t>
  </si>
  <si>
    <t>Construcción Etapa 1 de redes para suministro de gas domiciliario y conexión de usuarios de menores ingresos de la zona rural de San marcos y la cabecera municipal de Sucre.  Sucre</t>
  </si>
  <si>
    <t xml:space="preserve">CONSTRUCCIÓN DE REDES PARA LA CONEXIÓN DEL SISTEMA DE DISTRIBUCIÓN Y DE REDES INTERNAS PARA EL SUMINISTRO DE GAS DOMICILIARIO (GLP), EN 3.536 VIVIENDAS EN ZONA RURAL DEL MUNICIPIO DE SAN MARCOS Y EN LA CABECERA MUNICIPAL DEL MUNICIPIO DE SUCRE. </t>
  </si>
  <si>
    <t>·         Se solicita remitir avance de ejecución del mes de abril de 2026, pólizas actualizadas con acta de inicio del convenio suscrito y/o modificaciones si se han presentado.</t>
  </si>
  <si>
    <t xml:space="preserve">En cuanto al convenio 014 se prorrogó dos meses, quedando su ejecución hasta el 12 de junio de 2026, por lo tanto nos permitimos remitir modificatorio No.1 del Convenio 014, reprogramación, excel de ejecucion y documento de avance de obra. </t>
  </si>
  <si>
    <t>Proyecto en estado de ejecución, con contrato en ejecución y calificación de 100puntos en el mes de marzo, conforme a su avance de ejecución, teniendo en cuenta el costo, la programación y la brecha entre lo físico y lo financiero.</t>
  </si>
  <si>
    <t>San Marcos, Sucre</t>
  </si>
  <si>
    <t>2024002700174</t>
  </si>
  <si>
    <t>Fortalecimiento de la productividad en los cultivos de Yuca Industrial de los municipios PDET del departamento de  Sucre</t>
  </si>
  <si>
    <t>AUMENTAR LOS NIVELES DE PRODUCTIVIDAD EN LAS ÁREAS SEMBRADAS DE LOS CULTIVOS DE YUCA INDUSTRIAL EN LOS MUNICIPIOS PDET DEL DEPARTAMENTO DE SUCRE, BENEFICIANDO 690 PEQUEÑOS PRODUCTORES AGRUPADOS EN 8 ASOCIACIONES, A LOS CUALES SE LES HARÁ ENTREGA DE UN BANCO DE MAQUINARIA AGRÍCOLA COMPUESTO POR 1TRACTOR AGRÍCOLA, CON IMPLEMENTOS COMO 1 RASTRA PREPARADORA, 1 REMOLQUE TIPO PLANCHA CON BARANDAS, Y UN 1 CABALLONEADOR RESPECTIVAMENTE.</t>
  </si>
  <si>
    <t xml:space="preserve">Productores apoyados con activos productivos y de comercialización </t>
  </si>
  <si>
    <t>SIN CONTRATAR</t>
  </si>
  <si>
    <t>Se informa que el proyecto fue migrado el 23 de noviembre de 2024 al aplicativo Gesproy y como fecha límite de liberación de recursos se tenía hasta el día 18 de mayo de 2025, el proyecto no ha sido contratado, lo que quiere decir que en el hito “Eficiencia en la contratación” obtendrá una puntuación de cero (0). Ahora bien, se otorgó una prórroga por un término de seis (6) meses, la cual fue debidamente aprobada y tuvo vencimiento el 15 de enero de 2026. Posteriormente, se aprobó una nueva prórroga por un período adicional de seis (6) meses; en consecuencia, se solicita adelantar las acciones pertinentes a la mayor brevedad posible,   y se solicita información del proceso de contratación del proyecto, en vista que conforme a la información pasada el proceso precontractual fue declarado desierto.</t>
  </si>
  <si>
    <t xml:space="preserve">Se encuentra en contratación (Se anexa oficio de radicación) </t>
  </si>
  <si>
    <t>Proyecto realizó apertura del proceso de selección en la plataforma de Colombia Compra Eficiente para la adquisición de maquinaria amarilla y agrícola el día 5 de marzo de 2026, sin embargo, dicho proceso fue declarado desierto. Conforme a la información suministrada por la sectorial, el 13 de mayo de 2026 fueron radicados nuevamente los estudios previos para adelantar el proceso contractual. Posteriormente, desde la dependencia de contratación se realizaron observaciones relacionadas con los tiempos y la actualización de algunos precios de referencia, razón por la cual la sectorial se encuentra adelantando las subsanaciones correspondientes para continuar con el proceso de contratación. Teniendo en cuenta que el proyecto ya contó con un proceso inicial de contratación, actualmente no presenta riesgo de liberación de recursos.</t>
  </si>
  <si>
    <t>2024002700176</t>
  </si>
  <si>
    <t>Instalación de soluciones fotovoltaicas en el polideportivo del municipio de  Chalán Sucre</t>
  </si>
  <si>
    <t>INSTALACIÓN DE 144 PANELES SOLARES PARA LA AUTOGENERACIÓN DE ENERGÍA ELÉCTRICA EN LA CUBIERTA DE LA CANCHA DEPORTIVA DEL CASCO URBANO DEL MUNICIPIO DE CHALÁN, BENEFICIANDO A UNA POBLACIÓN DE 4,841 PERSONAS.</t>
  </si>
  <si>
    <t>Unidades de generación fotovoltáica de energía eléctrica instaladas</t>
  </si>
  <si>
    <t>Conforme a la información recibida el mes anterior, en la cual se indicó que el proyecto se encuentra suspendido, se solicita informar el estado actual del mismo, indicando si continúa en suspensión o si ya fue reiniciado. En caso de haberse producido el reinicio, se solicita remitir el acta de reinicio correspondiente, así como las modificaciones contractuales y la reprogramación del proyecto.</t>
  </si>
  <si>
    <t xml:space="preserve">Nos permitimos informar que se aprobó la ampliación de la suspensión del proyecto por un término adicional de dos (2) meses, estableciéndose como nueva fecha de finalización de dicha suspensión el día 27 de mayo de 2026. Se anexan los siguientes documentos: acta de ampliación de suspensión y documentos de solicitud de ampliación de la suspensión.  </t>
  </si>
  <si>
    <t>Proyecto en estado “en ejecución”, con contrato suspendido desde el 23 de enero de 2026. Actualmente, se encuentra a la espera de su reinicio, una vez la sectorial organice y ajuste los aspectos relacionados con la normativa RETIE, los cuales generan un mayor valor en los contratos.</t>
  </si>
  <si>
    <t>Chalán</t>
  </si>
  <si>
    <t>2024002700177</t>
  </si>
  <si>
    <t>Construcción de estructuras de protección para la prevención y mitigación de los efectos causados por la erosión costera en el sector primera ensenada del municipio de Coveñas departamento de  Sucre</t>
  </si>
  <si>
    <t xml:space="preserve">CONSTRUCCIÓN DE OCHO (8) ESPOLONES, RETIRO DE SEIS (6) ESTRUCTURAS EXISTENTES Y LA REGENERACIÓN DE PLAYAS MEDIANTE EL VERTIDO DE ARENA DE CANTERA. </t>
  </si>
  <si>
    <t>AMBIENTE Y DESARROLLO SOSTENIBLE</t>
  </si>
  <si>
    <t xml:space="preserve">obras de infraestructura para la mitigación y atención a desastres realizados </t>
  </si>
  <si>
    <t>SPGR Por definir</t>
  </si>
  <si>
    <t>*SGR- Asignaciones para la inversión regional 60%</t>
  </si>
  <si>
    <t>Se solicita remitir el avance de ejecución correspondiente al mes de abril de 2026 y/o las modificaciones realizadas, así como informar el estado de inicio de los demás contratos suscritos en el marco del proyecto</t>
  </si>
  <si>
    <t>Avance de ejecución del mes de abril 2026
Informe de supervisión mes de abril de 2026</t>
  </si>
  <si>
    <t>Proyecto en estado de ejecución, con contrato en ejecución y calificación de 60  puntos en el mes de marzo, conforme a su avance de ejecución, teniendo en cuenta el costo, la programación y la brecha entre lo físico y lo financiero.</t>
  </si>
  <si>
    <t>Coveñas</t>
  </si>
  <si>
    <t>2024002700183</t>
  </si>
  <si>
    <t>Construcción  de la casa de participación ciudadana en el municipio de Sincelejo departamento de  Sucre</t>
  </si>
  <si>
    <t xml:space="preserve">CONSTRUIR 375 METROS CUADRADOS DE INFRAESTRUCTURA FÍSICA PARA LOS PROCESOS DE PARTICIPACIÓN CIUDADANA EN EL DEPARTAMENTO DE SUCRE. </t>
  </si>
  <si>
    <t>Sedes construídas</t>
  </si>
  <si>
    <t>CONTRATADO SIN ACTA DE INICIO</t>
  </si>
  <si>
    <t xml:space="preserve">Contratado sin ejecución                                              </t>
  </si>
  <si>
    <t>SGR - Asignación para la inversión regional 60%
SGR - Asignaciones directas</t>
  </si>
  <si>
    <t>Teniendo en cuenta que el proyecto se encuentra en estado “CONTRATADO SIN ACTA DE INICIO” en el aplicativo Gesproy, y considerando que recientemente fue adjudicada la obra, se solicita remitir la información correspondiente a los contratistas de obra, así como el estado actual de la interventoría y del apoyo a la supervisión. En particular, se requiere el envío de los siguientes documentos: RUT, acta consorcial, pólizas iniciales debidamente aprobadas, registro fotográfico de la situación actual del proyecto, la programación inicial de ejecución y acta de inicio de obra e interventoría. Este proyecto presenta más de 500 días desde su aprobación sin que, a la fecha, se haya dado inicio a su ejecución, situación que genera alertas y afecta negativamente su calificación.</t>
  </si>
  <si>
    <t>La contratación de la obra se encuentra adjudicado.
Proceso interventoría, mediante la Resolución No. 1086 del 12 de marzo de 2026, se declaró desierto el Concurso de Méritos Abierto No. CM-002-2026.
Mediante oficio No. 0838 de 8 de mayo, se radicaron los estudios previos para iniciar nuevo proceso de interventoría.</t>
  </si>
  <si>
    <t xml:space="preserve">El proyecto se encuentra en ejecución  sin acta de inicio desde junio de 2025, el contrato de obra fue adjudicado y suscrito mediante No de contrato LP-009-2025 el 05 de febrero de 2026. Mediante la resolución 0768 del 23 febrero de 2026, se aperturó el proceso CM-002-2026 para la interventoría, Actualmente se encuentra en proceso de evaluación y observaciones.
Esta situación está generando una calificación de 0, debido a que no se cuenta con programación del proyecto ni con acta de inicio. </t>
  </si>
  <si>
    <t>2024002700184</t>
  </si>
  <si>
    <t>Fortalecimiento Productivo Piscícola para la  Recuperación de Especies Nativas y  la  Seguridad Alimentaria en Asociaciones de  Pescadores Artesanales  de la Ecorregión Mojana del Departamento de   Sucre</t>
  </si>
  <si>
    <t>GENERACIÓN DE APROPIACIÓN DEL PATRIMONIO NATURAL DEL DEPARTAMENTO EN LAS ASOCIACIONES DE PESCADORES ARTESANALES MEDIANTE EL REPOBLAMIENTO DE ESPECIES ICTÍCAS DE BOCACHICO EN LOS CUERPOS CENAGOSOS Y CAPACITACIÓN TÉCNICA EN PESCA A 349 PESCADORES ARTESANALES DEL DEPARTAMENTO DE SUCRE.</t>
  </si>
  <si>
    <t>´- Personas beneficiadas
- Unidades productivas beneficiadas
- Pequeños productores rurales asistidos técnicamente</t>
  </si>
  <si>
    <t>·         se solicita la remisión de la ejecución correspondiente al mes de abril de 2026 y/o modificaciones.</t>
  </si>
  <si>
    <t xml:space="preserve">Se envía informe de avance del mes de abril y respectiva prorroga en la ejecución.  </t>
  </si>
  <si>
    <t>Proyecto en estado de ejecución, con contrato en ejecución y calificación de 88,43  puntos en el mes de marzo, conforme a su avance de ejecución, teniendo en cuenta el costo, la programación y la brecha entre lo físico y lo financiero.</t>
  </si>
  <si>
    <t>2024702150036</t>
  </si>
  <si>
    <t>Construcción de soluciones Fotovoltaica para el suministro de energía en entidades públicas del municipio de   Corozal Sucre</t>
  </si>
  <si>
    <t>Central de generación fotovoltaica construida (Producto principal del proyecto)</t>
  </si>
  <si>
    <t>SGR - Rendimientos financieros 30% - incentivo a la producción
SGR - Asignaciones directas</t>
  </si>
  <si>
    <t>Proyecto en estado “Sin contratar”, recién aprobado</t>
  </si>
  <si>
    <t>2025000020006</t>
  </si>
  <si>
    <t>Mejoramiento de la vía sampues-Segovia-Sincelejo en el departamento de  Sucre</t>
  </si>
  <si>
    <t>MEJORAR LAS VIAS TERCIARIAS QUE COMUNICAN A SAMPUES CON EL MUNICIPIO DE SINCELEJO A TRAVEZ DE 10,69 KM</t>
  </si>
  <si>
    <t xml:space="preserve">Vía terciaria mejorada </t>
  </si>
  <si>
    <t xml:space="preserve">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 </t>
  </si>
  <si>
    <t>CDP No.62
Mediante oficio 0832 de 8 de mayo de 2026, se radicaron los estudios previos para iniciar proceso de contratación de obra</t>
  </si>
  <si>
    <t xml:space="preserve"> Proyecto en estado “Sin contratar”,  Fueron radicados el día 8 de mayo de 2026 en la subsecretaría de contratación los estudios previos y demás documentación soporte, para su respectiva revisión y trámite. Actualmente se encuentra a la espera de la publicación del respectivo proceso contractual.
</t>
  </si>
  <si>
    <t>Sincelejo, Sampués, Morroa</t>
  </si>
  <si>
    <t>2025000020019</t>
  </si>
  <si>
    <t>Implementación del programa de alimentación escolar -PAE- para el segundo semestre del 2025 en el Departamento de   Sucre</t>
  </si>
  <si>
    <t xml:space="preserve">ENTREGA DE 2.733.725 RACIONES DE ALIMENTOS COMPLEMENTARIOS A LOS ESTUDIANTES EN LA JORNADA ESCOLAR DE LOS ESTABLECIMIENTOS EDUCATIVOS DEL DEPARTAMENTO DE SUCRE </t>
  </si>
  <si>
    <t>220102800: Raciones contratadas</t>
  </si>
  <si>
    <t>Inversión - Departamentos - SGR - Asignación para la inversión regional 40%</t>
  </si>
  <si>
    <t xml:space="preserve"> Se solicita liquidación del proyecto.</t>
  </si>
  <si>
    <t>Proyecto se está cragando información en la plataforma Gesproy para pasar a estado TERMIANDO</t>
  </si>
  <si>
    <t>2025000020037</t>
  </si>
  <si>
    <t>Pavimentación de la vía que conduce de la cabecera del municipio de Galeras hasta el corregimiento de Santiago Apóstol jurisdicción del municipio de San Benito Abad Departamento de  Sucre</t>
  </si>
  <si>
    <t xml:space="preserve">MEJORAMIENTO DE 19,4720 KM DE VÍAS TERCIARIAS EN PAVIMENTO DE LA VÍA QUE COMUNICA A LA CABECERA MUNICIPAL DE GALERAS CON EL CORREGIMIENTO DE SANTIAGO APÓSTOL, DEPARTAMENTO DE SUCRE. </t>
  </si>
  <si>
    <t>Vía terciaria mejorada</t>
  </si>
  <si>
    <t>·         Se solicita remitir avance de ejecución del mes de abril de 2026, además remitir pólizas iniciales y con acta de inicio de los contratos y/o modificaciones si se han presentado.</t>
  </si>
  <si>
    <t>avance de ejecucion del mes de abril 2026,en formato exel documentos de soportes de ejecusion mes de abril 2026</t>
  </si>
  <si>
    <t>Proyecto en estado de ejecución, con contrato en ejecución y calificación de 100 puntos en el mes de marzo, conforme a su avance de ejecución, teniendo en cuenta el costo, la programación y la brecha entre lo físico y lo financiero.</t>
  </si>
  <si>
    <t>OSVALDO SIERRA CARVAJALINO</t>
  </si>
  <si>
    <t>San Benito Abad, Galeras</t>
  </si>
  <si>
    <t>2025002700015</t>
  </si>
  <si>
    <t>Elaboración de estudios técnicos y jurídicos para el saneamiento de bienes baldíos urbanos con fines de titulación en municipios del departamento de  Sucre</t>
  </si>
  <si>
    <t xml:space="preserve">ELABORACIÓN DE ESTUDIO DE OCUPACIÓN, IDENTIFICACIÓN CATASTRAL, TÉCNICA Y JURÍDICA DE 500 BIENES OBJETO DE SANEAMIENTO DE BALDÍOS URBANOS OCUPADOS ILEGALMENTE CON VIVIENDA EN LOS MUNICIPIOS DE EL ROBLE, BUENAVISTA, GALERAS, SAN PEDRO Y SAN JUAN DE BETULIA EN EL DEPARTAMENTO DE SUCRE. </t>
  </si>
  <si>
    <t>Se solicita remitir el avance de ejecución correspondiente al mes de marzo de 2026 y/o las modificaciones realizadas, además se solicita información de los contratistas (Rut, acta consorcial, pólizas iniciales), minutas contractuales</t>
  </si>
  <si>
    <t>2025002700019</t>
  </si>
  <si>
    <t>Mejoramiento de la Institución Educativa El Mamón sede principal en el municipio de Corozal departamento de   Sucre</t>
  </si>
  <si>
    <t>MEJORAMIENTO DE LA SEDE PRINCIPAL DE LA INSTITUCIÓN EDUCATIVA EL MAMÓN MEDIANTE LA INTERVENCIÓN DE TRES (3) AULAS Y LA CONSTRUCCIÓN DE INFRAESTRUCTURA COMPLEMENTARIA EN EL MUNICIPIO DE COROZAL, SUCRE.</t>
  </si>
  <si>
    <t>220105200: Sedes educativas mejoradas</t>
  </si>
  <si>
    <t>Se encuentra en el aplicativo Gesproy en estado “SIN CONTRATAR”.  Conforme a la última información suministrada el proyecto cuenta con el primer contrato de consultoría adjudicado el 08 de abril de 2026 y actualmente se encuentra en espera de la firma del contrato, adicionalmente, el proceso precontractual de la interventoría aún no ha sido publicado, se solicita información de la suscripción del contrato de la consultoría, del proceso de contratación de la interventoría y la programación de los eventos de participación ciudadana.</t>
  </si>
  <si>
    <t>El 4 de mayo de 2026 se suscribió el contrato de obra No. SA. 003.2026. En cuanto al proceso para la contratación de la interventoria, el 24 de abril 2026 se radicaron en la oficina de subcontratación los estudios previos y demás documentación soporte, para su respectiva revisión y trámite; actualmente, se encuentra a la espera de la publicación del respectivo proceso contractual. Se anexa oficio No. 0769.</t>
  </si>
  <si>
    <t xml:space="preserve">
El 4 de mayo de 2026 se suscribió el contrato de obra. En cuanto al proceso para la contratación de la interventoría, el 24 de abril 2026 se radicaron en la oficina de subcontratación los estudios previos y demás documentación soporte, para su respectiva revisión y trámite; actualmente, se encuentra a la espera de la publicación del respectivo proceso contractual. Este proyecto debería aparecer en Gesproy "contratado sin acta de inicio", sin embargo, está a la espera de que migre el contrato a la plataforma.</t>
  </si>
  <si>
    <t>2025002700021</t>
  </si>
  <si>
    <t>Mejoramiento de vías terciarias y secundarias en los municipios de Santiago de Tolú y Toluviejo subregión del golfo de mosrrosquillo departamento de  Sucre</t>
  </si>
  <si>
    <t xml:space="preserve">	MEJORAMIENTO DE 2,63 KM DE VÍAS TERCIARIAS Y SECUNDARIAS MEDIANTE PAVIMENTO EN CONCRETO HIDRÁULICO, EN LOS TRAMOS QUE COMUNICAN LOS CORREGIMIENTOS LAS PITAS EN EL MUNICIPIO DE SANTIAGO DE TOLÚ Y LA ESPERANZA EN EL MUNICIPIO DE TOLUVIEJO, EN EL DEPARTAMENTO DE SUCRE.</t>
  </si>
  <si>
    <t>Vía secundaria mejorada
Via terciaria mejorada</t>
  </si>
  <si>
    <t>Se encuentra en el aplicativo Gesproy en estado “SIN CONTRATAR”.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t>
  </si>
  <si>
    <t>Se encuentra en estructuración de estudios previos de obra e interventoria</t>
  </si>
  <si>
    <t xml:space="preserve"> Proyecto en estado “Sin contratar”,  sin registro de proceso precontractual en SECOP II. Se encuentra en elaboración de estudios previos por parte de la sectorial
</t>
  </si>
  <si>
    <t>Santiago de Tolú, Toluviejo</t>
  </si>
  <si>
    <t>2025002700023</t>
  </si>
  <si>
    <t>Estudio y diseño para la masificación de gas combustible domiciliario por redes para la zona rural de los municipios de San Onofre San antonio de Palmito Tolú Caimito y El Roble del Departamento de Sucre.  Sucre</t>
  </si>
  <si>
    <t>REALIZAR ESTUDIOS,DISEÑOS Y DOCUMENTOS TÉCNICOS PARA LA ESTRUCTURACIÓN DE UN PROYECTO DE GAS NATURAL DOMICILIARIO EN LOS MUNICIPIOS DE SAN ONOFRE, SAN ANTONIO DE PALMITO, TOLÚ, CAIMITO, Y EL ROBLE EN EL DEPARTAMENTO DE SUCRE.</t>
  </si>
  <si>
    <t>Estudios de preinversión realizados</t>
  </si>
  <si>
    <t>Se encuentra en el aplicativo Gesproy en estado “CONTRATADO SIN ACTA DE INICIO” se solicita remitir pólizas iniciales debidamente aprobadas, la programación inicial de ejecución y actas de inicio.</t>
  </si>
  <si>
    <t xml:space="preserve">El proyecto comenzó su ejecución el día 27 de abril del 2026, por lo tanto, nos permitimos remitir el acta de inicio firmada, la programación, las pólizas actualizadas con acta de inicio, pantallazo de aprobación secop II, Excel con la ejecución del mes y documento de entrega de avance de obra.  </t>
  </si>
  <si>
    <t xml:space="preserve">Proyecto en estado de ejecución, con contrato en ejecución y calificación de 100 puntos en el mes de marzo, conforme a su avance de ejecución, teniendo en cuenta el costo, la programación y la brecha entre lo físico y lo financiero. </t>
  </si>
  <si>
    <t>Caimito, El Roble, San Onofre, Palmito, Santiago de Tolú</t>
  </si>
  <si>
    <t>2025002700025</t>
  </si>
  <si>
    <t>Cofinanciación DE SUBSIDIO AL CARGO POR CONEXIÓN CERTIFICACION PREVIA E INSTALACIÓN INTERNA DEL SERVICIO DE GAS NATURAL PARA USUARIOS ESTRATO 1 Y 2 DE LOS CORREGIMIENTOS DE BARAYA (GALERAS) Y CIENAGUITA (TOLUVIEJO) Y DE LOS SECTORESBARRIOS CASTAÑEDA (SINCELEJO) Y ARROYO SECO (TOLUVIEJO) DEL DEPARTAMENTO DE  Sucre</t>
  </si>
  <si>
    <t>AMPLIACIÓN DE LA COBERTURA DEL SERVICIO DE GAS NATURAL DOMICILIARIO A 877 VIVIENDAS DE ESTRATOS 1 Y 2 EN LOS CORREGIMIENTOS DE BARAYA (MUNICIPIO DE GALERAS), CIENAGUITA Y ARROYO SECO (MUNICIPIO DE TOLUVIEJO), Y EL SECTOR CASTAÑEDA (MUNICIPIO DE SINCELEJO) EN EL DEPARTAMENTO DE SUCRE.</t>
  </si>
  <si>
    <t>210101600: Viviendas conectadas a la red local de gas combustible</t>
  </si>
  <si>
    <t>Asignaciones Directas</t>
  </si>
  <si>
    <t>·         Se encuentra en el aplicativo Gesproy en estado “CONTRATADO SIN ACTA DE INICIO” se solicita remitir pólizas iniciales debidamente aprobadas, la programación inicial de ejecución y acta de inicio de obra  e interventoría.</t>
  </si>
  <si>
    <t xml:space="preserve">Nos permitimos informar que actualmente se encuentra pendiente la obtención de los permisos, conceptos y autorizaciones requeridos conforme a la normatividad vigente para la ejecución del convenio, entre ellos el trámite de consulta previa, requisito indispensable para proceder con la suscripción del acta de inicio. </t>
  </si>
  <si>
    <t xml:space="preserve">Proyecto en estado “Contratado sin acta de inicio”, a la espera de la programación inicial y la suscripción del acta de inicio para pasar a estado “en ejecución”. El contrato fue suscrito el 04 de febrero  de 2026, por lo cual se debe mantener alerta, teniendo en cuenta que se dispone de 30 días para cargar el acta de inicio y la programación, evitando así una calificación de 0 por parte del DNP.
Conforme a lo informado por la sectorial, se requiere la modificación de una cláusula del convenio, en atención a ciertos requisitos que deben cumplirse previamente a la suscripción del acta de inicio. En consecuencia, se hace necesario la elaboración de un otrosí, el cual se prevé suscribir entre el 7 y el 9 de mayo, con el fin de proceder posteriormente a la firma del acta de inicio.
</t>
  </si>
  <si>
    <t>San José de Toluviejo, Sincelejo, Galeras</t>
  </si>
  <si>
    <t>2025002700033</t>
  </si>
  <si>
    <t>Estudios y diseños del proyecto denominado Consultoria para el Diagnóstico y formulacion de propuestas de intervención en infraestructura educativa oficial en municipios priorizados del departamento de  Sucre</t>
  </si>
  <si>
    <t>REALIZAR EL DIAGNÓSTICO TÉCNICO DE LA INFRAESTRUCTURA EDUCATIVA OFICIAL Y LA ELABORACIÓN DE ESTUDIOS, DISEÑOS Y PROPUESTAS DE INTERVENCIÓN PARA LOS MUNICIPIOS PRIORIZADOS DEL DEPARTAMENTO DE SUCRE</t>
  </si>
  <si>
    <t>220103900: Estudios y diseños de infraestructura educativa elaborados</t>
  </si>
  <si>
    <t>Asignación para la inversión regional 60%</t>
  </si>
  <si>
    <t>El proyecto se encuentra en el aplicativo GESPROY en estado “SIN CONTRATAR”. Conforme a la información presentada el mes anterior, se evidenció la apertura del primer proceso correspondiente a la consultoría, no obstante, aún no se había iniciado el proceso precontractual de la interventoría. Por lo anterior, se solicita remitir información actualizada sobre ambas contrataciones, así como la programación de los eventos de participación ciudadana</t>
  </si>
  <si>
    <t xml:space="preserve"> Resolución de adjudicación No. 1786 de 30 de abril de 2026, del Contrato de
Consultoria No. CM-004-2026
Mediante oficio No. 0770 de fecha 24 de abril, se radicaron los estudios previos para iniciar proceso de contractual de la interventoria</t>
  </si>
  <si>
    <t xml:space="preserve">
 Mediante la Resolución No. 1786 del 30 de abril de 2026, se adjudicó el Contrato No. CM-004-2026, sin embargo, a la fecha no se ha suscrito el contrato correspondiente.
En cuanto al proceso para la contratación de la interventoría, el día 24 de abril se radicaron en la oficina de subcontratación los estudios previos y demás documentación soporte, para su respectiva revisión y trámite. Actualmente, se encuentra a la espera de la publicación del respectivo proceso contractual.</t>
  </si>
  <si>
    <t>BUENAVISTA, CAIMITO, COLOSO, COROZAL, EL ROBLE,
LOS PALMITOS, MAJAGUAL, SAN ANTONIO DE
PALMITOS, SAMPUÉS, SAN BENITO ABAD, SAN JUAN DE
BETULIA, SAN MARCOS, SAN PEDRO, SINCÉ,
TOLUVIEJO.</t>
  </si>
  <si>
    <t>2025002700035</t>
  </si>
  <si>
    <t>Estudios  y Diseños para la Adecuación de Infraestructura física en el Departamento de  Sucre</t>
  </si>
  <si>
    <t>ELABORACIÓN DE ESTUDIOS TÉCNICOS, DIAGNÓSTICOS Y DISEÑOS DE PREINVERSIÓN PARA LA ADECUACIÓN INTEGRAL DE DOS (2) EDIFICACIONES DEL DEPARTAMENTO DE SUCRE, ORIENTADOS A LA OPTIMIZACIÓN DE LAS CONDICIONES LOCATIVAS, FUNCIONALES Y NORMATIVAS, CONFORME A LA REGLAMENTACIÓN TÉCNICA VIGENTE.</t>
  </si>
  <si>
    <t>170202200: Estudios de preinversión realizados</t>
  </si>
  <si>
    <t>- Mediante la Resolución No. 1906 del 8 de mayo de 2026, se ordena la apertura del proceso por concurso de méritos abierto No. CM-003-2026</t>
  </si>
  <si>
    <t>Mediante la resolución No. 1906 del 08 de mayo de 2026, se ordena la apertura del proceso por concurso de méritos abierto No. CM-003-2026, actualmente se encuentra en la fase de evaluación de propuestas y atención de observaciones.</t>
  </si>
  <si>
    <t>2026002700001</t>
  </si>
  <si>
    <t>Mejoramiento en pavimento rígido y construcción de obras hidráulicas en tramos viales en las subregiones Sabana y Montes de María en el departamento de  Sucre</t>
  </si>
  <si>
    <t>MEJORAMIENTO DE 3,0976 KM DE VÍAS URBANAS MEDIANTE PAVIMENTO RÍGIDO Y CONSTRUCCIÓN DE OBRAS HIDRÁULICAS, EN TRAMOS VIALES DE LOS MUNICIPIOS DE SAMPUÉS, MORROA Y SINCÉ, EN LAS SUBREGIONES SABANA Y MONTES DE MARÍA DEL DEPARTAMENTO DE SUCRE</t>
  </si>
  <si>
    <t>Vía urbana mejorada</t>
  </si>
  <si>
    <t xml:space="preserve">SGR - Asignaciones directas
Asignación para la inversión regional 60%
</t>
  </si>
  <si>
    <t>Se encuentra en el aplicativo Gesproy en estado “SIN CONTRATAR”. Se solicita remitir información actualizada sobre el estado de contratación, la programación de los eventos de participación ciudadana, la modalidad de contratación prevista para cada uno de los procesos contractuales del proyecto, así como la fecha programada para la apertura de cada uno de dichos procesos.</t>
  </si>
  <si>
    <t>Proyecto en estado “Sin contratar”,  sin registro de proceso precontractual en SECOP II. Se encuentra en elaboración de estudios previos por parte de la sectorial</t>
  </si>
  <si>
    <t>Sampués, Morroa y Sincé</t>
  </si>
  <si>
    <t>2026002700007</t>
  </si>
  <si>
    <t>Mejoramiento  y adecuaciones de la infraestructura física de la Institución Educativa Gabriel García Márquez sede Ospina Pérez II del Municipio de Corozal Departamento de  Sucre</t>
  </si>
  <si>
    <t>EJECUTOR</t>
  </si>
  <si>
    <t>NOMBRE DEL PROYECTO</t>
  </si>
  <si>
    <t>ALCANCE</t>
  </si>
  <si>
    <t>FUENTE</t>
  </si>
  <si>
    <t>VALOR TOTAL</t>
  </si>
  <si>
    <t>AVANCE FÍSICO</t>
  </si>
  <si>
    <t>2020700010140</t>
  </si>
  <si>
    <t>EMPRESA AGUAS DE SUCRE S.A. E.S.P.</t>
  </si>
  <si>
    <t>Optimización del interceptor venecia - los alpes en el municipio de Sincelejo</t>
  </si>
  <si>
    <t xml:space="preserve">Optimización de sistema de alcantarillado urbano en el municipio de Sincelejo en los barrios Venecia y los alpes con 1462ml de tubería PVC en diámetros de 8", 16", 18", 20" y 24" </t>
  </si>
  <si>
    <t>SGR - Asignación para la inversión local según NBI- Sincelejo
Recusos Propios - Sincelejo
Recursos Propios - Departamento de Sucre</t>
  </si>
  <si>
    <t>Terminado</t>
  </si>
  <si>
    <t>Proyecto terminado</t>
  </si>
  <si>
    <t>2020700010143</t>
  </si>
  <si>
    <t>Construcción de redes de alcantarillado sanitario en el barrio puerta roja del municipio de Sincelejo Sincelejo</t>
  </si>
  <si>
    <t xml:space="preserve">Construcción de red de alcantarillado sanitario en el barrio puerta roja del municipio de Sincelejo, con 2125 ml de tubería de PVC de 6" y 8" de diámetro </t>
  </si>
  <si>
    <t>SGR - Asignación para la inversión local según NBI- Sincelejo
Recursos Propios - Departamento de Sucre</t>
  </si>
  <si>
    <t>2021000020028</t>
  </si>
  <si>
    <t>FONDO MIXTO DE PROMOCION DE LA CULTURA Y LAS ARTES DE SUCRE</t>
  </si>
  <si>
    <t>Implementación de una estrategia de profesionalización de artistas artistas formadores y gestores culturales en el departamento de Sucre</t>
  </si>
  <si>
    <t xml:space="preserve">IMPLEMENTAR ESTRATEGIAS DE PROFESIONALES DE ARTISTAS, ARTISTAS FORMADORES Y GESTORES CULTURALES DEN EL DEPARTAMENTO DE SUCRE </t>
  </si>
  <si>
    <t>En ejecución</t>
  </si>
  <si>
    <t>Proyecto en estado de ejecución, con contrato en ejecución y calificación de 75 puntos en el mes de febrero, conforme a su avance de ejecución, teniendo en cuenta el costo, la programación y la brecha entre lo físico y lo financiero.</t>
  </si>
  <si>
    <t>2021002700194</t>
  </si>
  <si>
    <t>Ampliación y optimización del sistema de acueducto de la cabecera municipal de la Unión departamento de Sucre</t>
  </si>
  <si>
    <t xml:space="preserve">Optimización de sistema de acueducto en la cabecera municipal de la Unión con tanque semienterrado de 1000m3, suministro de 69 Domiciliarias, redes de distribución en tuberías de 3" y 6" RDE 32.5 y tanque elevado de 200m3, </t>
  </si>
  <si>
    <t>SGR - Asignaciones directas
SGR - Asignación para la inversión regional 60%
Ministerio de Vivienda, Ciudad y Territorio</t>
  </si>
  <si>
    <t>Suspendido</t>
  </si>
  <si>
    <t>Proyecto en ejecución con contrato suspendido</t>
  </si>
  <si>
    <t>20221301010208</t>
  </si>
  <si>
    <t>Ampliación y optimización del sistema de acueducto primera etapa de la cabecera municipal de Morroa departamento de Sucre</t>
  </si>
  <si>
    <t>Ampliación y optimización del sistema de acueducto con 2750ml de tubería De Aducción - Tanque Semienterrado, construcción pozo profundo y Sistema eléctrico, paso elevado en tubería, tanque semienterrado de concreto, caseta de bombeo y cerramiento en malla eslabonada, para el municipio de Morroa, departamento de sucre.</t>
  </si>
  <si>
    <t>SGR - Asignaciones directas - Departamento
SGR - Asignaciones directas - Morroa
Recursos Propios - Morroa
SGP Agua Potable y Saneamiento Básico - Morroa
SGP Propósito General Libre Inversión - Morroa</t>
  </si>
  <si>
    <t>2023002700011</t>
  </si>
  <si>
    <t>Fortalecimiento de las artes plásticas y visuales en los municipios de Sincelejo Corozal Morroa Santiago de Tolú y San Pedro en el departamento de Sucre</t>
  </si>
  <si>
    <t xml:space="preserve">Se Fortalecera de las artes plásticas y visuales en los municipios de Sincelejo Corozal Morroa Santiago de Tolú y San Pedro en el departamento de Sucre </t>
  </si>
  <si>
    <t>Morroa, San Pedro, Santiago de Tolú, Sincelejo, Corozal</t>
  </si>
  <si>
    <t>2023002700070</t>
  </si>
  <si>
    <t>Adecuación y Mejoramiento de Sedes Educativas de la Subregión San Jorge y Sabana por una Educación Diferente Departamento de Sucre</t>
  </si>
  <si>
    <t>SE ADECUARA Y MEJORARÁ LAS CONDICIONES DE LAS AULAS EDUCATIVAS PARA LA FORMACIÓN Y EL DESARROLLO INTEGRAL DE COMPETENCIAS BÁSICAS EN LAS INSTITUCIONES EDUCATIVAS DE LOS MUNICIPIOS DE CAIMITO Y SINCÉ, EN EL DEPARTAMENTO DE SUCRE.</t>
  </si>
  <si>
    <t>SGR - Asignaciones directas
SGR - Asignación para la inversión regional 60%</t>
  </si>
  <si>
    <t>San Luis de Sincé, Caimito</t>
  </si>
  <si>
    <t>2023002700127</t>
  </si>
  <si>
    <t>Construcción de los embarcaderos marítimos públicos ubicados en el municipio de Santiago de Tolú departamento de Sucre</t>
  </si>
  <si>
    <t xml:space="preserve">SE CONSTRUIRA UN EMBARCADEROS MARITIMOS EN EL MUNICIPIO DE SANTIAGO DE TOLU DEL DEPARTAMENTO DE SUCRE </t>
  </si>
  <si>
    <t>2023002700169</t>
  </si>
  <si>
    <t>Ampliación y optimización del sistema de acueducto del corregimiento de Santiago Apóstol en el municipio de San Benito de Abad Sucre</t>
  </si>
  <si>
    <t xml:space="preserve">Mejorar la prestación del servicio de acueducto en el Corregimiento Santiago Apóstol en el municipio de San Benito de Abad. </t>
  </si>
  <si>
    <t>2024002700075</t>
  </si>
  <si>
    <t>INSTITUTO DEPARTAMENTAL DE DEPORTES Y RECREACION DE SUCRE INDERSUCRE</t>
  </si>
  <si>
    <t>Mejoramiento y adecuación del parque central del municipio de Santiago de Tolú y del parque principal del barrio las Margaritas del municipio de Sincelejo Departamento de Sucre</t>
  </si>
  <si>
    <t xml:space="preserve">MEJORAMIENTO Y ADECUACIÓN DEL PARQUE CENTRAL DEL MUNICIPIO DE SANTIAGO DE TOLÚ Y DEL PARQUE PRINCIPAL DEL BARRIO LAS MARGARITAS DEL MUNICIPIO DE SINCELEJO, DEPARTAMENTO DE SUCRE contemplando la remodelación y/o construcción del parque las Margaritas en un área de 4756m2, y Parque Principal Santiago de Tolú con un área de intervención de 11819.25 M2. Más de 53.889 beneficiados con la ejecución de este proyecto. </t>
  </si>
  <si>
    <t>Proyecto terminado pero sigue apareciendo en la plataforma en ejecución</t>
  </si>
  <si>
    <t>Sincelejo, Santiago de Tolú</t>
  </si>
  <si>
    <t>2024002700158</t>
  </si>
  <si>
    <t>Estudios de prefactibilidad y factibilidad para la estructuración de proyectos de generación de energía eléctrica fotovoltaica en Sucre</t>
  </si>
  <si>
    <t xml:space="preserve">INCREMENTAR LA ACCESIBILIDAD Y CALIDAD EN LA PRESTACIÓN DEL SERVICIO ELÉCTRICO EN SUCRE. </t>
  </si>
  <si>
    <t>2024002700193</t>
  </si>
  <si>
    <t>Construcción de Villa Olímpica Fase I municipio de Tolú Departamento de Sucre</t>
  </si>
  <si>
    <t>LA ALTERNATIVA SELECCIONADA LLEVA COMO OBJETO CONSTRUCCIÓN DE VILLA OLÍMPICA FASE I, MUNICIPIO DE TOLÚ, DEPARTAMENTO DE SUCRE CONTEMPLANDO LAS SIGUIENTES ACTIVIDADES Y ALCANCE: - ADQUISICIÓN DE PREDIO "UNIÒN" UBICADO EN EL KM 3, VIA SANTIAGO DE TOLÚ- TOLUVIEJO, CON ÁREA DE 10 HECTÁREAS, CONSTRUCCIÓN DE COLISEO DE COMBATE Y CONSTRUCCIÓN DE OBRAS COMPLEMENTARIAS. 1.066.044 BENEFICIARIOS CON EL PROYECTO</t>
  </si>
  <si>
    <t>Contratado sin ejecución</t>
  </si>
  <si>
    <t>2024002700194</t>
  </si>
  <si>
    <t>Diseño de la alternativa sostenible de provisión de agua para las subregiones sabana y montes de maría Sucre</t>
  </si>
  <si>
    <t xml:space="preserve">ELABORAR LOS ESTUDIOS Y DISEÑOS QUE PERMITAN IMPLEMENTAR UNA ALTERNATIVA SOSTENIBLE DE PROVISIÓN DE AGUA PARA LAS SUBREGIONES SABANA Y MONTES DE MARÍA EN EL DEPARTAMENTO DE SUCRE </t>
  </si>
  <si>
    <t>Chalán, Sincelejo, Ovejas, Buenavista, San Juan de Betulia, Los Palmitos, Galeras, Sampués, El Roble, Corozal, San Pedro, Colosó, Morroa, San Luis de Sincé</t>
  </si>
  <si>
    <t>2025002700010</t>
  </si>
  <si>
    <t>Construcción de Parque Recreo Deportivo en el Corregimiento de las Piedras municipio de Toluviejo Departamento de Sucre</t>
  </si>
  <si>
    <t xml:space="preserve">ESTA ALTERNATIVA CONTEMPLA LA CONSTRUCCIÓN DE UN PARQUE RECREO DEPORTIVO EN EL CORREGIMIENTO DE LAS PIEDRAS MUNICIPIO DE TOLUVIEJO, DEPARTAMENTO DE SUCRE, CON UN ÁREA A INTERVENIR DE (1.700 MTS2), INCLUYE CANCHA MÚLTIPLE (MICROFUTBOL - BALONCESTO - VOLEIBOL, CON DEMARCACIÓN DE CANCHAS), PLAZOLETAS DE ACCESO, RECEPCIÓN, DE EVENTOS SOCIALES, PARQUE INFANTIL, SUMINISTRO E INSTALACIÓN DE MÁQUINAS BIOSALUDABLES. EL TIEMPO DE EJECUCIÓN FÍSICA SERÁ DE 5 MESES. 964 BENEFICIARIOS DE ESTE PROYECTO. </t>
  </si>
  <si>
    <t>2025002700011</t>
  </si>
  <si>
    <t>Construcción de cancha deportiva energética en el corregimiento de El Sitio municipio de El Roble Sucre</t>
  </si>
  <si>
    <t>SE PROPONE LA CONSTRUCCIÓN DE UNA CANCHA DEPORTIVA CON CUBIERTA EN UN ÁREA TOTAL DE 672 M², A EDIFICARSE EN LA ZONA RURAL DEL CORREGIMIENTO DE EL SITIO, MUNICIPIO DE EL ROBLE, SUCRE; DONDE SE PODRÁ PRACTICAR FÚTBOL, BALONCESTO Y VOLEIBOL. ESTE ESPACIO CONTARÁ CON ÁREAS DE PROTECCIÓN POSTERIORES, SUMINISTRO DE ENERGÍA A TRAVÉS DE SOLUCIONES FOTOVOLTAICAS DE FORMA TOTAL DURANTE EL DÍA, QUEDANDO DISPONIBLE EL USO DE ENERGÍA CONVENCIONAL DURANTE LA NOCHE MÁS DE 998 BENEFICIADOS CON ESTE PROYECTO.</t>
  </si>
  <si>
    <t>El Roble</t>
  </si>
  <si>
    <t>2025002700034</t>
  </si>
  <si>
    <t xml:space="preserve">Construcción de planta de tratamiento de agua potable de 5833 ls en el área urbana del municipio de Majagual departamento de Sucre	</t>
  </si>
  <si>
    <t>LA ALTERNATIVA SELECCIONADA CONTEMPLA LA CONSTRUCCIÓN DE UNA PLANTA DE TRATAMIENTO DE AGUA POTABLE PARA EL SISTEMA DE ACUEDUCTO DE LA ZONA URBANA DEL MUNICIPIO DE MAJAGUAL. LA EJECUCIÓN DE ESTE PROYECTO COMPRENDE DOS ETAPAS PRINCIPALES: LA CONSTRUCCIÓN DE LOS LECHOS DE SECADO Y LA CONSTRUCCIÓN DE LA PLANTA DE TRATAMIENTO PTAP</t>
  </si>
  <si>
    <t>SGR - Asignaciones directas
SGP Agua Potable y Saneamiento Básico</t>
  </si>
  <si>
    <t>Sin contratar</t>
  </si>
  <si>
    <t>Majagual</t>
  </si>
  <si>
    <t>COMENTARIOS</t>
  </si>
  <si>
    <t>2012000020042</t>
  </si>
  <si>
    <t>MUNICIPIO DE MORROA</t>
  </si>
  <si>
    <t>CONSTRUCCIÓN EN PAVIMENTO FLEXIBLE DEL EJE VIAL MONTES DE MARIA QUE COMUNICA EL MUNICIPIO DE MORROA CON EL MUNICIPIO DE COLOSO DEL K0+00 HASTA EL K21+387 EN EL DEPARTAMENTO DE SUCRE</t>
  </si>
  <si>
    <t xml:space="preserve">Construccion de 21,387 km de via en pavimento flexible del k0+00 al k21+387, en la via que comunica al municipio de Morroa con el municipio de Coloso en el Departamento de Sucre. </t>
  </si>
  <si>
    <t>Liquidado</t>
  </si>
  <si>
    <t>Morroa, Colosó</t>
  </si>
  <si>
    <t>2012002700005</t>
  </si>
  <si>
    <t>MUNICIPIO DE OVEJAS</t>
  </si>
  <si>
    <t>CONSTRUCCIÓN EN PAVIMENTO CONCRETO RIGIDO EN LOS BARRIOS LA MARIA-CALLE LA TRANQUILIDAD- BARRIO COREA Y LA CALLE LA PAZ OVEJAS,SUCRE, CARIBE</t>
  </si>
  <si>
    <t xml:space="preserve">Construccion de 854 metros de via en pavimento rigido en el barrio la maria- calle la tranquilidad - barrio corea y calle la paz del municipio de Ovejas, Sucre </t>
  </si>
  <si>
    <t>Ovejas</t>
  </si>
  <si>
    <t>2012002700006</t>
  </si>
  <si>
    <t>MUNICIPIO DE SAN PEDRO</t>
  </si>
  <si>
    <t>CONSTRUCCIÓN DE PAVIMENTO RiGIDO EN LA CL 11 ENTRE KRA 5 Y 7; CL 10 ENTRE KRA 6 Y 8 E INTERSECCIoN KRA 7 Y 8 BR SAN ROQUE; KRA 8A Y 8 B ENTRE CL 25 Y POLIDEPORTIVO E INTERSECCIoN KRA 8A Y 8B BR VILLA ESTADIO, MPIO DE SAN PEDRO, SUCRE</t>
  </si>
  <si>
    <t xml:space="preserve">Mejorar el estado de las vias de transito vehicular y peatonal de diferentes sectores del municipio </t>
  </si>
  <si>
    <t>San Pedro</t>
  </si>
  <si>
    <t>2013000020043</t>
  </si>
  <si>
    <t xml:space="preserve">MUNICIPIO DE MAJAGUAL </t>
  </si>
  <si>
    <t>MEJORAMIENTO DE LAS vías TERCIARIAS LOS COCOS-LA MARTHA, HATO NUEVO-SUCRE,GUARANDA-EL GARCERO Y IRA-MAJAGUAL EN LA ZONA DE LA MOJANA SUCRE, CARIBE</t>
  </si>
  <si>
    <t>MEJORAR en 37 Km LA MOVILIDAD VIAL PARA FACILITAR LA ACCESIBILIDAD DEL TRANSPORTE DE LA ZONA RURAL A LA URBANA DE LOS MUNICIPIOS DE MAJAGUAL, GUARANDA Y SUCRE ZONA LA MOJANA EN EL DEPARTAMENTO DE SUCRE</t>
  </si>
  <si>
    <t>Sucre, Majagual, Guaranda</t>
  </si>
  <si>
    <t>2013000020044</t>
  </si>
  <si>
    <t>MEJORAMIENTO DE LA VIA QUE CONDUCE DE SAN PEDRO A BUENAVISTA-POR EL CORREGIMIENTO DE SAN MATEO,MEDIANTE LA CONSTRUCCION DE PAVIMENTO EN EL DEPARTAMENTO DE SUCRE. 1ERA ETAPA</t>
  </si>
  <si>
    <t xml:space="preserve">Adelantar el mejoramiento de la vía San Pedro - San Mateo - Buenavista en pavimento asfáltico y obras de drenaje </t>
  </si>
  <si>
    <t xml:space="preserve">Fondo  De Desarrollo Regional
Recursos de SGP - San Pedro
</t>
  </si>
  <si>
    <t>2013000020049</t>
  </si>
  <si>
    <t>MUNICIPIO DE COVEÑAS</t>
  </si>
  <si>
    <t>CONSTRUCCIÓN DE OBRAS DE PREVENCIoN Y CONTROL DE LA EROSIoN COSTERA EN EL CASCO URBANO DE LOS MUNICIPIOS DE COVEÑAS Y SANTIAGO TOLu DEPARTAMENTO DE SUCRE - REGIoN CARIBE</t>
  </si>
  <si>
    <t xml:space="preserve">Construcción de 15.000 m2 y 8.750 m2 de espolones, para la prevención y control de la erosión costera en el casco urbano de los Municipios de Coveñas y Santiago de Tolú, en el Departamento de Sucre. </t>
  </si>
  <si>
    <t>Coveñas, Santiago de Tolú</t>
  </si>
  <si>
    <t>2013000020072</t>
  </si>
  <si>
    <t>MUNICIPIO DE TOLUVIEJO</t>
  </si>
  <si>
    <t>CONSTRUCCIÓN DE PAVIMENTO FLEXIBLE EN LA ViA LA PALMIRA - CARACOL- LAS PIEDRAS - LA SIRIA Y LAS PIEDRAS - BAJO DON JUAN, DE LOS MUNICIPIOS DE TOLUVIEJO Y COLOSo, DEPARTAMENTO DE SUCRE</t>
  </si>
  <si>
    <t xml:space="preserve">MEJORAR LAS CONDICIONES DE TRANSITABILIDAD DE LAS VIAS RURALES ( PALMIRA-CARACOL-LAS PIEDRAS-LA SIRIA EN EL MUNICIPIO DE TOLUVIEJO Y LAS PIEDRAS-BAJO DON JUAN EN EL MUNICIPIO DE COLOSO) </t>
  </si>
  <si>
    <t>Fondo  De Desarrollo Regional</t>
  </si>
  <si>
    <t>2013000020090</t>
  </si>
  <si>
    <t>MUNICIPIO DE LOS PALMITOS</t>
  </si>
  <si>
    <t>MEJORAMIENTO Y REHABILITACION DE LA VIA QUE COMUNICA AL CORREGIMIENTO DE PALMA DE VINO CHARCON- CAÑITO LOS ARAUJO CON LA CABECERA MUNICIPAL DE BETULIA - MUNICIPIO DE LOS PALMITOS DEPARTAMENTO DE SUCRE</t>
  </si>
  <si>
    <t xml:space="preserve">Este proyecto busca recuperar la calzada de la vía rural e interconectar desde el Municipio de Betulia hasta el corregimiento Palmas de vino en el Municipio de los Palmitos y lograr el normal tránsito o movilidad de vehículos y peatones por esta importante zona de producción agropecuaria. Se intervendrán 25 kilómetros de vía en calzada de 4 metros con material seleccionado afirmado, con obras de arte como puente, alcantarillas, cunetas y placa huellas en concreto en puntos críticos. </t>
  </si>
  <si>
    <t>SGR - Asignación para la inversión regional 60% 
Recursos Propios - Los Palmitos
Recursos Propios - Betulia</t>
  </si>
  <si>
    <t>Los Palmitos</t>
  </si>
  <si>
    <t>2013000100255</t>
  </si>
  <si>
    <t>LA CORPORACIÓN COLOMBIANA DE INVESTIGACIÓN AGROPECUARIA - AGROSAVIA (EX CORPOICA)</t>
  </si>
  <si>
    <t>INVESTIGACIÓN DESARROLLO E INNOVACIoN DE CACAOS ESPECIALES BAJO SISTEMAS AGROFORESTALES .</t>
  </si>
  <si>
    <t xml:space="preserve">Aprovechar las oportunidades de mercado del cacao fino de sabor y aroma como una estrategia para el desarrollo competitivo de la cacaocultura colombiana. </t>
  </si>
  <si>
    <t>2017000020114</t>
  </si>
  <si>
    <t>MUNICIPIO DE SINCELEJO</t>
  </si>
  <si>
    <t>REHABILITACIÓN DE LA VÍA LAS MAJAGUAS - LA ARENA, ZONA RURAL DEL MUNICIPIO DE SINCELEJO, DEPARTAMENTO DE SUCRE</t>
  </si>
  <si>
    <t xml:space="preserve">Mejorar la movilidad vehicular de la vía las majaguas - la arena, en la zona rural del municipio de Sincelejo </t>
  </si>
  <si>
    <t>SGR - Asignación para la inversión regional 60% 
Recursos Propios - Sincelejo</t>
  </si>
  <si>
    <t>2018000020002</t>
  </si>
  <si>
    <t>MUNICIPIO DE SINCE</t>
  </si>
  <si>
    <t>MEJORAMIENTO EN PAVIMENTO ASFÁLTICO DE LA VÍA SINCÉ - GRANADA - BUENAVISTA, EN EL DEPARTAMENTO DE SUCRE</t>
  </si>
  <si>
    <t xml:space="preserve">Construccion de 21,16 km de via en pavimento asfaltico del k0+00 al k21+16, en la via que comunica al municipio de Sincè con el municipio de Buenavista, en el departamento de Sucre. </t>
  </si>
  <si>
    <t>SGR - Asignación para la inversión regional 60% - Proyectos de infraestructura de transporte para la implementación Acuerdo Paz 
SGR - Asignación para la inversión regional 60%</t>
  </si>
  <si>
    <t xml:space="preserve">Liquidado </t>
  </si>
  <si>
    <t>Buenavista, San Luis de Sincé</t>
  </si>
  <si>
    <t>2019000020013</t>
  </si>
  <si>
    <t>MUNICIPIO DE COROZAL</t>
  </si>
  <si>
    <t>Mejoramiento con placa huella de la vía que comunica los corregimientos de chocho en el municipio de Sincelejo y el corregimiento de don Alonso en el municipio de Corozal, departamento de Sucre</t>
  </si>
  <si>
    <t>Mejoramiento de 2,845 Km de vía en placa huella que comunica al Corregimiento de Chocho del Municipio de Sincelejo (K0+000) con el corregimiento de Don Alonso en el Municipio de corozal (K2+845) en el Departamento de Sucre</t>
  </si>
  <si>
    <t>SGR - Asignación para la inversión regional 60%
Recursos Propios - Corozal</t>
  </si>
  <si>
    <t>2019000020110</t>
  </si>
  <si>
    <t>MUNICIPIO DE COLOSO</t>
  </si>
  <si>
    <t>Mejoramiento DE UNIDADES PRODUCTIVAS AGRÍCOLAS A TRAVÉS DE LA COSECHA DE AGUA, SISTEMA DE RIEGO, DIVERSIFICACIÓN DE CULTIVOS Y ACOMPAÑAMIENTO INTEGRAL EN LOS MUNICIPIOS DE LOS PALMITOS, COLOSO, OVEJAS Y TOLUVIEJO EN EL DEPARTAMENTO DE Sucre</t>
  </si>
  <si>
    <t xml:space="preserve">Mejorar las unidades productivas agrícolas de 245 pequeños productores rurales mediante la implementación de cultivos de ñame diamante, maíz y limón tahití, y, el acompañamiento integral integral a los pequeños productores en los Municipios de los Palmitos, Colosó, Ovejas y Toluviejo </t>
  </si>
  <si>
    <t>Los Palmitos, Ovejas, Colosó, San José de Toluviejo</t>
  </si>
  <si>
    <t>2019000100005</t>
  </si>
  <si>
    <t>FUNDACIÓN UNIVERSIDAD DEL NORTE - UNINORTE</t>
  </si>
  <si>
    <t>Formación De Capital Humano De Alto Nivel Nacional</t>
  </si>
  <si>
    <t>Formación de alto nivel mediante la financiación de 31 créditos educativos condonables a nivel de doctorado</t>
  </si>
  <si>
    <t>Barranquilla</t>
  </si>
  <si>
    <t>2019000100011</t>
  </si>
  <si>
    <t>UNIVERSIDAD DE LA SABANA</t>
  </si>
  <si>
    <t>Formación de Capital humano de alto nivel Universidad de La Sabana Nacional</t>
  </si>
  <si>
    <t xml:space="preserve">Promover el acceso a estudios de doctorado en el país a profesionales Colombianos bajo la figura de crédito educativo condonable, en el marco del programa Becas de Excelencia Doctoral del Bicentenario establecido en el artículo 45 de la Ley No. 1942 de 2018. El apoyo financiero para la realización de doctorados se realizará a cinco beneficiarios de los departamentos de Choco, Sucre, Tolima, Cesar y Norte de Santander (uno por cada departamento). </t>
  </si>
  <si>
    <t>Chía</t>
  </si>
  <si>
    <t>2019000100012</t>
  </si>
  <si>
    <t xml:space="preserve">UNIVERSIDAD DEL VALLE </t>
  </si>
  <si>
    <t>Formación de capital humano de alto nivel Universidad del Valle Nacional</t>
  </si>
  <si>
    <t xml:space="preserve">Legalización de 48 créditos educativos condonables de estudiantes pertenecientes a programas de doctorado de la Universidad del Valle, elegidos por el OCAD en el marco de programa Becas de Excelencia Doctoral del Bicentenario, para dar apoyo financiero en la realización de sus programas de doctorado. </t>
  </si>
  <si>
    <t>Santiago de Cali</t>
  </si>
  <si>
    <t>2019000100021</t>
  </si>
  <si>
    <t>UNIVERSIDAD DE CARTAGENA</t>
  </si>
  <si>
    <t>Formación de capital humano de alto nivel - Universidad de Cartagena Nacional</t>
  </si>
  <si>
    <t xml:space="preserve">Formación de alto nivel mediante la financiación 17 créditos condonables a nivel de doctorado en universidades nacionales, para el capital humano de la región caribe. </t>
  </si>
  <si>
    <t>Cartagena de Indias</t>
  </si>
  <si>
    <t>2019000100026</t>
  </si>
  <si>
    <t>UNIVERSIDAD NACIONAL DE COLOMBIA</t>
  </si>
  <si>
    <t>Formación De Capital Humano de Alto Nivel Universidad Nacional de Colombia Nacional</t>
  </si>
  <si>
    <t xml:space="preserve">Formación de alto nivel mediante la financiación de 93 créditos condonables a nivel de doctorado en programas de la Universidad Nacional de Colombia, para el capital humano de 29 departamentos. </t>
  </si>
  <si>
    <t>Medellín, San Andrés, Leticia, Bogotá, D.C., Palmira, Manizales</t>
  </si>
  <si>
    <t>2019000100028</t>
  </si>
  <si>
    <t>PONTIFICIA UNIVERSIDAD JAVERIANA</t>
  </si>
  <si>
    <t>Formación DE CAPITAL HUMANO DE ALTO NIVEL PONTIFICIA UNIVERSIDAD JAVERIANA SEDE CENTRAL Nacional</t>
  </si>
  <si>
    <t xml:space="preserve">Promover el acceso a estudios de doctorado en el país a profesionales colombianos con 27 créditos educativo condonables, en el marco del programa Becas de Excelencia Doctoral del Bicentenario establecido en el artículo 45 de la Ley No. 1942 de 2018. El apoyo financiero para la realización de doctorados se realizará en el marco del proyecto de inversión presentado por la IES y de acuerdo con las condiciones del Programa de Becas para la Excelencia Doctoral del Bicentenario </t>
  </si>
  <si>
    <t>2019000100032</t>
  </si>
  <si>
    <t xml:space="preserve">UNIVERSIDAD DE CÓRDOBA </t>
  </si>
  <si>
    <t>Formación de capital humano de alto nivel - Universidad de Córdoba Nacional</t>
  </si>
  <si>
    <t xml:space="preserve">Asignación de recursos para 10 estudiantes en el marco del programa de becas del excelencia doctoral del bicentenario denominado "Formación de Capital Humano de Alto Nivel - Universidad de Córdoba" </t>
  </si>
  <si>
    <t>2019000100034</t>
  </si>
  <si>
    <t>CORPORACIÓN UNIVERSIDAD DE LA COSTA</t>
  </si>
  <si>
    <t>Formación De capital humano de alto nivel - Corporación Universidad de la Costa, CUC Nacional</t>
  </si>
  <si>
    <t xml:space="preserve">Formación de capital humano de alto nivel a través del otorgamiento de catorce (14) créditos educativos condonables en el marco del programa becas de excelencia doctoral del bicentenario para los beneficiarios de los departamentos de Atlantico, Bolivar, Cesar, Magdalena, La Guajira, Norte de Santander y Sucre. El apoyo económico para la financiación de los créditos educativos incluye el pago de matrícula del semestre, el sostenimiento mensual y una pasantía en el exterior. </t>
  </si>
  <si>
    <t>2019000100035</t>
  </si>
  <si>
    <t>UNIVERSIDAD DE CALDAS</t>
  </si>
  <si>
    <t>Formación de capital humano de alto nivel Universidad de Caldas - Nacional</t>
  </si>
  <si>
    <t xml:space="preserve">Promover el acceso a programas de formación de alto nivel en Manizales mediante estudios de doctorado en diferentes áreas de conocimiento, permitiendo el desarrollo de capacidades para la investigación, la generación de nuevo conocimiento, la transferencia del mismo y su aplicación a 14 personas bajo la figura de crédito educativo condonable </t>
  </si>
  <si>
    <t>Manizales</t>
  </si>
  <si>
    <t>2019000100037</t>
  </si>
  <si>
    <t xml:space="preserve">UNIVERSIDAD TECNOLÓGICA DE BOLÍVAR </t>
  </si>
  <si>
    <t>Formación CAPITAL HUMANO DE ALTO NIVEL UNIVERSIDAD TECNOLÓGICA DE BOLÍVAR Nacional</t>
  </si>
  <si>
    <t xml:space="preserve">Incrementar las capacidades del talento humano en investigación de calidad e impacto y promover el acceso a estudios de doctorado en el país a profesionales colombianos bajo la figura de crédito educativo condonable, en el marco del programa "Becas de Excelencia Doctoral del Bicentenario", establecido en el artículo 45 de la Ley No. 1942 de 2018, a través del apoyo financiero para la realización de doctorados con las condiciones del Programa de Becas para la Excelencia Doctoral del Bicentenario. </t>
  </si>
  <si>
    <t>Cartagena de Indias, Sincelejo, Valledupar</t>
  </si>
  <si>
    <t>2019000100045</t>
  </si>
  <si>
    <t>UNIVERSIDAD PONTIFICIA BOLIVARIANA</t>
  </si>
  <si>
    <t>Formación Capital Humano de Alto nivel Nacional por la Universidad Pontificia Bolivariana-UPB Nacional</t>
  </si>
  <si>
    <t xml:space="preserve">Formación Capital Humano de Alto nivel Nacional por la Universidad Pontificia Bolivariana-UPB Nacional por medio del desarrollo de ocho programas doctorales. </t>
  </si>
  <si>
    <t>Medellín</t>
  </si>
  <si>
    <t>2019000100064</t>
  </si>
  <si>
    <t>UNIVERSIDAD DEL MAGDALENA</t>
  </si>
  <si>
    <t>Fortalecimiento de habilidades y competencias comunicativas investigativas y tecnológicas alrededor de la memoria histórica y cultural en niños adolescentes y jóvenes del departamento del Cesar</t>
  </si>
  <si>
    <t xml:space="preserve">Facilitar la apropiación de las TIC mediante la estrategia "La Piragua navegando por el Cesar", que articula la infraestructura tecnológica existente con los procesos de enseñanza-aprendizaje escolares en once instituciones educativas, para el fomento de talentos creativos, competencias científicas y de investigación a través de escenarios de reconstrucción de la memoria histórica y cultural, en niños, adolescentes y jóvenes del departamento del Cesar </t>
  </si>
  <si>
    <t>Chimichagua, El Paso, Gamarra, La Paz, Valledupar, Chiriguaná, Pueblo Bello, Aguachica, Curumaní</t>
  </si>
  <si>
    <t>2019002700079</t>
  </si>
  <si>
    <t>MUNICIPIO DE GALERAS</t>
  </si>
  <si>
    <t>Construcción Y DOTACION DE LA BIBLIOTECA PUBLICA MUNICIPAL DE Galeras</t>
  </si>
  <si>
    <t xml:space="preserve">Construir una Biblioteca Publica en un área de 432m2 en la zona urbana del municipio de Galeras, mediante la dotación de cubierta en teja acústica, construcción de unidades sanitarias, suministro e instalación de redes eléctricas externas e internas, tanque de distribución de agua potable pisos y enchapes y construcción de obras de urbanismo. </t>
  </si>
  <si>
    <t>SGR - Asignaciones directas 
Recursos Propios - Galeras</t>
  </si>
  <si>
    <t>Galeras</t>
  </si>
  <si>
    <t>2019700010025</t>
  </si>
  <si>
    <t>Construcción estadio 20 de enero del Municipio de Sincelejo Departamento de Sucre</t>
  </si>
  <si>
    <t>Reconstruccion de la infraestructura física deportiva y recreativa del estadio 20 de enero en el municipio de Sincelejo</t>
  </si>
  <si>
    <t>SGR - Asignación para la inversión regional 60%
SGR - Asignaciones directas-Sincelejo
SGR - Asignación para la inversión local según NBI- Sincelejo</t>
  </si>
  <si>
    <t>2020000020053</t>
  </si>
  <si>
    <t>Mejoramiento en pavimento rigido de la vía San Pedro - Limites con Bolívar en el departamento de Sucre</t>
  </si>
  <si>
    <t xml:space="preserve">La alternativa contempla la construcción de 7,523 km de vía en el tramo San Pedro - Rancho largo en el municipio de San Pedro que comunica con el municipio de Córdoba - Bolívar, el K0+000 inicia en el municipio de San Pedro- Sucre y finaliza en el K7+523 en los limites del municipio de Cordoba-Bolivar, la estructura de pavimento se compone por dos capas con espesores de 20 centímetros para la losa de pavimento y 30 centímetros para la capa de subbase y se pavimentara 7,523 kilómetros </t>
  </si>
  <si>
    <t>2020000020068</t>
  </si>
  <si>
    <t>MUNICIPIO DE CAIMITO</t>
  </si>
  <si>
    <t>Construcción de pavimento en concreto rigido de la via que conduce desde el Municipio de caimito hasta el municipio de la union en el departamento de Sucre</t>
  </si>
  <si>
    <t xml:space="preserve">Construcción de 12,378Km de pavimento sobre la vía que conduce del municipio de Caimito a La Unión desde la abscisa K0+100 - K3+428; K10+195 - K19+245. </t>
  </si>
  <si>
    <t>SGR - Asignación para la inversión regional 60% 
Recursos Propios - Caimito</t>
  </si>
  <si>
    <t>La Unión, Caimito</t>
  </si>
  <si>
    <t>2020000020072</t>
  </si>
  <si>
    <t>Mejoramiento de la vía que comunica los municipios de Corozal Betulia y Sincé (ruta 25SC02) en el departamento de Sucre</t>
  </si>
  <si>
    <t xml:space="preserve">Mejoramiento y rehabilitación de la carretera Corozal - San Luis de Sincé, en el Departamento de Sucre, con una longitud de 18,967 km, La alternativa de pavimento propuesta considera una capa de mejoramiento para la zona de ampliación paralela en casi toda la longitud del corredor vial , donde se pasa de un ancho promedio existente de 6.60 m a 9.30 m, se proyecta la construcción de nueve Boxcoulvert y un puente. </t>
  </si>
  <si>
    <t>San Juan de Betulia, Corozal, San Luis de Sincé</t>
  </si>
  <si>
    <t>2020000100001</t>
  </si>
  <si>
    <t>Estudio de la exposición a pesticidas y metales pesados y su relación con el perfil neurológico y cognitivo en niños y niñas de la Mojana Bolivarense - Bolívar</t>
  </si>
  <si>
    <t xml:space="preserve">Evaluación del deterioro neurológico y cognitivo en 343 niños y niñas con edades comprendidas entre 6 y 12 años que viven en la Mojana Bolivarense (Magangué y Achí), asociado con exposición a pesticidas, y metales pesados, incluyendo como grupo de referencia el municipio de Arjona, que será utilizada como población de comparación </t>
  </si>
  <si>
    <t>Achí, Magangué, Arjona</t>
  </si>
  <si>
    <t>2020000100002</t>
  </si>
  <si>
    <t>Análisis de la interacción de la alimentación y el riesgo genético en la asociación entre la aterosclerosis y la función pulmonar en adultos del departamento de Bolívar</t>
  </si>
  <si>
    <t>Incrementar la investigación para el análisis de las interacción de la alimentación y las variantes genéticas de riesgo con la asociación entre a aterosclerosis y la función pulmonar.</t>
  </si>
  <si>
    <t>2020000100005</t>
  </si>
  <si>
    <t>UNIVERSIDAD DEL ATLÁNTICO</t>
  </si>
  <si>
    <t>Fortalecimiento de las capacidades técnicas y científicas del laboratorio de análisis fisicoquímico del agua (LAFA) del centro de estudios del agua (CEA) en la Universidad del Atlántico Puerto Colombia</t>
  </si>
  <si>
    <t xml:space="preserve">Fortalecimiento del laboratorio de análisis fisicoquímico del agua-LAFA de la Universidad del Atlántico mediante dotación de 4 equipos (ICP metales pesados; un cromatógrafo de gases-masas con detector NPD; un HPLC con detector Diodo; un SOXLETH para grasas y aceites). 3 capacitaciones para el talento humano del proyecto. Generación de Documentación requerida por la ISO/IEC 17025:2017, un informe sobre la sostenibilidad del laboratorio y un documento con el portafolio de servicios del LAFA </t>
  </si>
  <si>
    <t>Puerto Colombia</t>
  </si>
  <si>
    <t>2020000100006</t>
  </si>
  <si>
    <t xml:space="preserve">INSTITUCION UNIVERSITARIA ITSA </t>
  </si>
  <si>
    <t>Desarrollo de un sistema inteligente multiparamétrico para el reconocimiento de patrones asociados a disfunciones neurocognitivas en jóvenes en conflicto con la ley en el departamento del Atlántico</t>
  </si>
  <si>
    <t xml:space="preserve">Desarrollo de plataforma tecnológica para mejorar procesos de caracterización cerebral en jóvenes en conflicto con la ley </t>
  </si>
  <si>
    <t>2020000100023</t>
  </si>
  <si>
    <t>UNIVERSIDAD DE SUCRE</t>
  </si>
  <si>
    <t>Desarrollo de un Sistema Inteligente de Vigilancia de Arbovirus en zonas turísticas de la región Caribe Colombiana - Sucre, Bolívar</t>
  </si>
  <si>
    <t xml:space="preserve">Implementación de un sistema inteligente de vigilancia de arbovirus en tres ciudades con influencia turística de la región Caribe colombiana: Santiago de Tolú, Coveñas y Cartagena de Indias. En estas ciudades se instalarán trampas georreferenciadas de captura de mosquitos para determinar semanalmente la abundancia vectorial, así como el estado de infección con los virus Dengue,Chikungunya, Zika, Mayaro, Oropuche y/o Usutu mediante RT-qPCR </t>
  </si>
  <si>
    <t>Cartagena de Indias, Santiago de Tolú, Coveñas</t>
  </si>
  <si>
    <t>2020000100036</t>
  </si>
  <si>
    <t xml:space="preserve">UNIVERSIDAD DEL MAGDALENA </t>
  </si>
  <si>
    <t>Implementación de sistemas productivos en la piscicultura marina del róbalo para el fomento de su producción en el departamento del Magdalena</t>
  </si>
  <si>
    <t xml:space="preserve">Estudiar la especie del róbalo (Centropomus undecimalis) en ambientes controlados (condiciones de laboratorio) para lograr su reproducción mediante la feminización de juveniles y transferir la tecnología y los resultados obtenidos a través de cursos-talleres de capacitación y montajes pilotos de explotación sostenible con viabilidad económica a las comunidades beneficiarias del Caribe colombiano. </t>
  </si>
  <si>
    <t>Santa Marta, Puebloviejo</t>
  </si>
  <si>
    <t>2020000100055</t>
  </si>
  <si>
    <t>UNIVERSIDAD DE CÓRDOBA</t>
  </si>
  <si>
    <t>Implementación de una estrategia sostenible en la recuperación de ecosistemas degradados y contaminados con mercurio generado por la minería aurífera en los departamentos de Córdoba, Sucre, Chocó</t>
  </si>
  <si>
    <t xml:space="preserve">Proceso de fitorremediación como una estrategia sostenible en la recuperación de ecosistemas degradados y contaminados con mercurio generados por la minería aurífera en los departamentos de Córdoba, Sucre y Chocó, pretende desarrollar un proceso de remediación sobre un suelo degradado y contaminado con mercurio (Hg), utilizando plantas silvestres previamente identificadas que se dan en el área. </t>
  </si>
  <si>
    <t>Ayapel, Unión Panamericana, San Marcos, Majagual</t>
  </si>
  <si>
    <t>2020000100056</t>
  </si>
  <si>
    <t>FUNDACION PARQUE TECNOLOGICO DE SOFTWARE DE BOGOTA</t>
  </si>
  <si>
    <t>Desarrollo de capacidades en gestión de la innovación empresarial para las empresas del sector turismo, agropecuario y agroindustrial del departamento de Sucre</t>
  </si>
  <si>
    <t xml:space="preserve">Desarrollar capacidades en gestión de la innovación empresarial 192 empresas de los sectores de Turismo, Agropecuario y Agroindustrial en el departamento de Sucre. </t>
  </si>
  <si>
    <t>2020000100065</t>
  </si>
  <si>
    <t>Caracterización de microplasticos acumulados en sedimento, seston y organismos marinos en la region Caribe Colombiana: Departamentos Atlántico, Magdalena, San Andres y Providencia</t>
  </si>
  <si>
    <t xml:space="preserve">Incrementar los estudios sobre la contaminación por microplásticos a nivel espacio temporal acumulados en sedimento, seston y organismos marinos en el Caribe Colombiano, departamentos del Atlántico, Magdalena y San Andrés y Providencia </t>
  </si>
  <si>
    <t>Santa Marta, Puerto Colombia, Sitionuevo, San Andrés, Piojó, Barranquilla, Juan de Acosta, Tubará, Ciénaga, Puebloviejo</t>
  </si>
  <si>
    <t>2020000100095</t>
  </si>
  <si>
    <t>Fortalecimiento de capacidades instaladas de Ciencia y Tecnología de la Universidad de Sucre para atender problemáticas asociadas con agentes biológicos de alto riesgo para la salud humana en el departamento de Sucre</t>
  </si>
  <si>
    <t xml:space="preserve">Fortalecer las capacidades instaladas de Ciencia y Tecnología de la Universidad de Sucre para atender problemáticas asociadas con agentes biológicos de alto riesgo para la salud humana mediante una (1) adecuación civil de infraestructura de investigación para aumentar su complejidad, una (1) dotación de equipos e insumos para la infraestructura de investigación y un (1) servicio de pruebas de laboratorio para la detección de SARS-CoV-2 agente causal de COVID-19 en el departamento de Sucre. </t>
  </si>
  <si>
    <t xml:space="preserve">2020000100116
</t>
  </si>
  <si>
    <t>Fortalecimiento de la capacidad productiva y comercial de la cadena de suministro del Queso Costeño en las Subregiones del Caribe Colombiano, departamentos de Magdalena, Córdoba, La Guajira</t>
  </si>
  <si>
    <t xml:space="preserve">Desarrollar una (1) plataforma tecnológica que facilite el fortalecimiento de la capacidad productiva y comercial de la cadena de suministro del queso costeño mediante registro de marca colectiva, estimación de niveles de capacidad productiva y comercial, evaluación de la calidad del Queso Costeño e identificación de un esquema de trabajo asociativo-colaborativo, en las subregiones del Caribe Colombiano (Departamentos del Magdalena, Córdoba y La Guajira) </t>
  </si>
  <si>
    <t>2020000100189</t>
  </si>
  <si>
    <t>Aprovechamiento y valorización sostenible de residuos sólidos orgánicos y su posible aplicación en biorrefinerías y tecnologías de residuos-a-energía en el departamento de Sucre</t>
  </si>
  <si>
    <t xml:space="preserve">Se desarrollarán 3 prototipos de laboratorio de revalorización energética y 1 prototipo piloto de biorefinería sostenible de los RSO del Departamento de Sucre. Se incluye la compra de equipos científicos de caracterización y software especializado, publicación de 17 documentos de investigación, entrenamiento especializado a científicos y divulgación en eventos científicos internacionales. Localización: Lat: 9.314927, Long: -75.387559 </t>
  </si>
  <si>
    <t>2020000100213</t>
  </si>
  <si>
    <t>CORPORACIÓN UNIVERSITARIA DEL CARIBE CECAR</t>
  </si>
  <si>
    <t>Desarrollo de capacidades y habilidades de investigación, desarrollo tecnológico e innovación en jóvenes profesionales del Departamento de Sucre</t>
  </si>
  <si>
    <t xml:space="preserve">Desarrollo de capacidades de investigacion a 20 jovenes profesionales mediante la financiacion de 20 becas pasantias de investigación, realización de 2 estrategias de gestión del conocimiento en cultura y apropiación social de CTeI y publicación de 2 libros resultado de investigación como estrategia de comunicación y enforque en ciencia y tecnología en el departamento de Sucre. </t>
  </si>
  <si>
    <t>2020000100237</t>
  </si>
  <si>
    <t>CORPORACIÓN CENTRO DE DESARROLLO TECNOLÓGICO CLUSTER CREATIC</t>
  </si>
  <si>
    <t>Incremento de empresas de base tecnológica: competitividad e innovación para la región Sucre Sincelejo</t>
  </si>
  <si>
    <t xml:space="preserve">INCREMENTAR EN (12), LAS EMPRESAS DE BASE TECNOLÓGICA CONSTITUIDAS EN EL DEPARTAMENTO DE SUCRE CON LAS CONDICIONES PARA SU INGRESO EN EL MERCADO Y EXPANSIÓN COMERCIAL A PARTIR DEL FORTALECIMIENTO DE LOS PROCESOS DE LOS ACTORES SRCTEI, DE LAS CAPACIDADES PARA LA MADURACIÓN DE TECNOLOGÍAS EN LAS EBT DEL DEPARTAMENTO Y LA GENERACIÓN DE CONDICIONES PARA LA PUESTA EN MARCHA DE LAS EBT PARA SU EXPANSIÓN COMERCIAL Y SOSTENIBILIDAD </t>
  </si>
  <si>
    <t>2020000100250</t>
  </si>
  <si>
    <t>Desarrollo de capacidades para la maduración de tecnologías en sus aspectos técnicos y de negocios en sectores estratégicos priorizados por el PAED del Departamento de Sucre</t>
  </si>
  <si>
    <t xml:space="preserve">Maduración de nueve (9) tecnologías en sus aspectos técnicos y de negocios desarrolladas por empresas de los sectores priorizados en el PAED del Departamento de Sucre (municipios de Corozal, Sampués, San Antonio de Palmito, Sincelejo), para determinar las potencialidades de mercado y factibilidad técnica y financiera de los productos o servicios asociados a las tecnologías y diseñar estrategias de explotación y de protección de la propiedad intelectual asociada a ellas. </t>
  </si>
  <si>
    <t>Palmito, Sincelejo, Corozal, Sampués, San Benito Abad</t>
  </si>
  <si>
    <t>2020000100287</t>
  </si>
  <si>
    <t xml:space="preserve">FUNDACIÓN UNIVERSIDAD DEL NORTE - UNINORTE </t>
  </si>
  <si>
    <t>Formación De Capital Humano de Alto Nivel Universidad del Norte 2do Corte Nacional</t>
  </si>
  <si>
    <t xml:space="preserve">Formación de alto nivel mediante la financiación de 27 créditos condonables a nivel de doctorado en la Universidad del Norte, para el capital humano de los Departamentos de Atlántico, Bolívar, Córdoba, Cundinamarca, Huila, La Guajira, Magdalena, Norte de Santander y Sucre </t>
  </si>
  <si>
    <t>2020000100322</t>
  </si>
  <si>
    <t>Fortalecimiento de las capacidades de investigación con relación a las enfermedades transmitidas por vectores de las universidades de Córdoba y Cesar 2020 -2023 en Córdoba Cesar</t>
  </si>
  <si>
    <t xml:space="preserve">Fortalecer las capacidades de investigación y generar nuevo conocimiento con relación a las enfermedades transmitidas por vectores (mosquitos y garrapatas ) en los departamentos de Córdoba y Cesar. </t>
  </si>
  <si>
    <t>Cereté, Pueblo Bello, Aguachica, Los Córdobas, Montería, Manaure Balcón del Cesar, Tierralta, Lorica, Valledupar</t>
  </si>
  <si>
    <t>2020000100325</t>
  </si>
  <si>
    <t>Aprovechamiento sostenible del aguacate (Laurus persea L) producido en los Montes de María para la obtención de productos de valoragregado bajo el concepto de biorefinería en el departamento de Bolívar</t>
  </si>
  <si>
    <t xml:space="preserve">Dotación de equipos especializados en los laboratorios de Ciencias biomédicas, Toxicológicas y Ambientales de la Universidad de Cartagena y el laboratorio de Ciencia y Tecnología de alimentos de la Universidad del Atlántico. Adicionalmente se tendrán como entregables un documento de investigación y dos artículos de investigación como alcance en la ejecución del proyecto. </t>
  </si>
  <si>
    <t>Barranquilla, Cartagena de Indias</t>
  </si>
  <si>
    <t>2020000100345</t>
  </si>
  <si>
    <t>UNIVERSIDAD DEL VALLE</t>
  </si>
  <si>
    <t>Formación de capital humano de alto nivel segundo corte Universidad del Valle Nacional</t>
  </si>
  <si>
    <t xml:space="preserve">Legalización de 28 créditos educativos condonables de estudiantes pertenecientes a programas de doctorado de la Universidad del Valle, elegidos por el OCAD en el marco de programa Becas de Excelencia Doctoral del Bicentenario, para dar apoyo financiero en la realización de sus programas de doctorado. </t>
  </si>
  <si>
    <t>2020000100361</t>
  </si>
  <si>
    <t>Implementación de estrategias de gestión de riesgo en el manejo integral de zonas de recarga de los acuíferos utilizados como fuente de abastecimiento de las comunidades de la subregión mojana departamento de Sucre</t>
  </si>
  <si>
    <t xml:space="preserve">El proyecto busca determinar los diferentes acuíferos abastecedores del agua ubicados en los siete municipios de la subregión Mojana, Para lograr el objetivo se usarán insumos que permitan la modelación de los flujos de agua en el área de estudio y evaluar las fuentes contaminantes del acuífero; logrando beneficiar aproximadamente 207.083 habitantes. </t>
  </si>
  <si>
    <t>Caimito, Majagual, La Unión, San Benito Abad, Sucre, Guaranda, San Marcos</t>
  </si>
  <si>
    <t>2020000100362</t>
  </si>
  <si>
    <t>Análisis de biomarcadores de hipertrofia del tejido adiposo como factores involucrados en la asociación entre el riesgo de enfermedadcardiovascular y respiratoria en adultos del Caribe Colombiano en el departamento de Bolívar</t>
  </si>
  <si>
    <t xml:space="preserve">Fortalecer las capacidades institucionales para la investigación en enfermedades crónicas no transmisibles en dos (2) Universidades Públicas de la Región Caribe, a través de la dotación de laboratorios y mejoramiento de las competencias del talento humano, respondiendo a las necesidades de 400.000 personas en el Caribe Colombiano que son afectadas o están en alto riesgo de padecer enfermedades cardiovasculares y respiratorias. </t>
  </si>
  <si>
    <t>Santa Marta, Cartagena de Indias</t>
  </si>
  <si>
    <t>2020000100364</t>
  </si>
  <si>
    <t>Formación de capital humano de alto nivel cohorte II - Universidad de Cartagena Nacional</t>
  </si>
  <si>
    <t xml:space="preserve">Promover el acceso de la población a programas de Formación de Alto Nivel </t>
  </si>
  <si>
    <t>2020000100372</t>
  </si>
  <si>
    <t>Elaboración de un perfil hidrogeológico y ambiental del acuífero costero Arroyo Grande considerando efectos del cambio climático ydinámica antropogénica en la zona norte del Departamento de Bolívar</t>
  </si>
  <si>
    <t xml:space="preserve">Elaboración de un perfil hidrogeológico y ambiental mediante la caracterización de la formación Arroyo Grande, el fortalecimiento de la capacidad científica de las universidades a partir de la dotación de laboratorios con 13 equipos y 5 softwares, capacitando a 359 personas en temas relacionados con el proyecto. </t>
  </si>
  <si>
    <t>Clemencia, Cartagena de Indias, Santa Catalina, Sincelejo</t>
  </si>
  <si>
    <t>2020000100380</t>
  </si>
  <si>
    <t>Desarrollo de la cadena productiva de Cacao a través del mejoramiento de la calidad e inocuidad y agregación de valor en el departamento de Córdoba</t>
  </si>
  <si>
    <t xml:space="preserve">Fortalecimiento de la capacidad científica de la cadena productiva del cacao, a través de la adquisición de equipos, materiales y formación; la elaboración de 5 artículos de investigación, en los municipios de Tierralta y Valencia del departamento de Córdoba </t>
  </si>
  <si>
    <t>Tierralta, Valencia</t>
  </si>
  <si>
    <t>2020000100391</t>
  </si>
  <si>
    <t xml:space="preserve">UNIVERSIDAD DE ANTIOQUIA </t>
  </si>
  <si>
    <t>Formación Nacional de alto nivel en la Universidad de Antioquia</t>
  </si>
  <si>
    <t xml:space="preserve">Promover el acceso de la población a programas de formación de alto nivel </t>
  </si>
  <si>
    <t>2020000100417</t>
  </si>
  <si>
    <t>Diseño e implementación de sistemas inteligentes para la gestión de recursos y detección de enfermedades en sistemas de producción en banano en los Departamentos de La Guajira Magdalena</t>
  </si>
  <si>
    <t xml:space="preserve">Diseñar e implementar un (1) sistema inteligente para la gestión apropiada de los recursos y detección temprana de enfermedades en los sistemas de producción de banano, mediante estudios que relacionen los factores ambientales predisponentes para la reproducción de los hongos, acompañado de una red de sensores y cámaras de visión multiespectral para documentar y almacenar datos, en los Departamentos de La Guajira y Magdalena </t>
  </si>
  <si>
    <t>Dibulla, Riohacha, Santa Marta, Zona Bananera</t>
  </si>
  <si>
    <t>2020000100418</t>
  </si>
  <si>
    <t>Desarrollo de formulaciones nutricionales de engorde para camarón blanco (litopenaeus vannamei) en los departamentos Atlántico y Magdalena</t>
  </si>
  <si>
    <t>Mejorar la productividad de la camaronicultura en los Departamentos Atlántico y Magdalena y de esta manera disminuir su impacto ambiental sobre el recurso hídrico, a través del desarrollo de formulaciones nutricionales balanceadas de engorde para camarón de la especie Litopenaeus vannamei, ajustada a las necesidades del desarrollo competitivo y sustentable de la industria camaronera regional.</t>
  </si>
  <si>
    <t>2020000100427</t>
  </si>
  <si>
    <t>Estudio de la contaminación por metales pesados pesticidas nuevos contaminantes y su posible repercusión en riesgos en la salud y en el ambiente en el Departamento de Bolívar</t>
  </si>
  <si>
    <t>Investigar y reportar la repercusión en salud y ambiente debido a la Contaminación por metales pesados, pesticidas y nuevos contaminantes en el Departamento de Bolívar</t>
  </si>
  <si>
    <t>Cartagena de Indias, San Martín de Loba</t>
  </si>
  <si>
    <t>2020000100436</t>
  </si>
  <si>
    <t>UNIVERSIDAD SIMÓN BOLIVAR</t>
  </si>
  <si>
    <t>Formación de alto nivel Universidad Simón Bolívar-Corte 2 Nacional</t>
  </si>
  <si>
    <t xml:space="preserve">Formación de alto nivel mediante la financiación de 8 créditos condonables a nivel de doctorado en la Universidad Simón Bolívar para el capital humano del país. </t>
  </si>
  <si>
    <t>2020000100675</t>
  </si>
  <si>
    <t>Formación de capital humano de alto nivel - Universidad de Sucre</t>
  </si>
  <si>
    <t xml:space="preserve">Formación a nivel doctoral de 3 investigadores del departamento de Sucre por la Universidad de Sucre, en el marco del Programa de Becas de Excelencia del SGR. </t>
  </si>
  <si>
    <t>2020000100778</t>
  </si>
  <si>
    <t xml:space="preserve">UNIVERSIDAD EAFIT </t>
  </si>
  <si>
    <t>Formación de capital humano de alto nivel Universidad EAFIT - corte 2 Nacional</t>
  </si>
  <si>
    <t xml:space="preserve">Incrementar las capacidades de talento humano en investigación de calidad e impacto de 12 beneficiarios mediante estudios de doctorado. </t>
  </si>
  <si>
    <t>20201301010046</t>
  </si>
  <si>
    <t>Mejoramiento en pavimento asfáltico de la vía Colosó - Chalán - Ovejas municipios del departamento de Sucre</t>
  </si>
  <si>
    <t>Construccion de 19,328 Km de pavimento flexible: 9,138 km en pavimento asfaltico o (ubicado entre las abscisas K1+140 - K8+020 y K10+090- K22+347) y 0,190 Km en pavimento rígido (ubicado entre las abscisas K+0+950 - K1+140), en la via secundaria que comunica a los municipio de Colosò, Chalan y Ovejas en el Departamento de Sucre.</t>
  </si>
  <si>
    <t>SGR - Asignación para la paz</t>
  </si>
  <si>
    <t>Chalán, Colosó, Ovejas</t>
  </si>
  <si>
    <t>2021000100003</t>
  </si>
  <si>
    <t>Formación de Capital Humano de Alto Nivel - Universidad Nacional de Colombia Corte II Nacional</t>
  </si>
  <si>
    <t xml:space="preserve">Formación de alto nivel mediante la financiación de 79 créditos condonables a nivel de doctorado en programas de la Universidad Nacional de Colombia, para el capital humano de 24 departamentos. </t>
  </si>
  <si>
    <t>Manizales, Bogotá, D.C., Palmira, Medellín, San Andrés</t>
  </si>
  <si>
    <t>2021000100004</t>
  </si>
  <si>
    <t>Formación de capital humano de alto nivel Universidad de La Sabana corte 2 Nacional</t>
  </si>
  <si>
    <t xml:space="preserve">Promover el acceso a estudios de doctorado en el país a profesionales Colombianos bajo la figura de crédito educativo condonable, en el marco del programa Becas de Excelencia Doctoral del Bicentenario establecido en el artículo 45 de la Ley No. 1942 de 2018. El apoyo financiero para la realización de doctorados se realizará a seis beneficiarios de los departamentos de Cundinamarca, Sucre, Putumayo, Cesar, Bolivar y Guaviare (uno por cada departamento). </t>
  </si>
  <si>
    <t>2021000100005</t>
  </si>
  <si>
    <t>Formación de capital humano de alto nivel Universidad de Córdoba Nacional</t>
  </si>
  <si>
    <t xml:space="preserve">Servicio de apoyo financiero para la formación de nivel doctoral mediante once (11) becas otorgadas en el Departamento de Córdoba. </t>
  </si>
  <si>
    <t>Montería</t>
  </si>
  <si>
    <t>2021000100006</t>
  </si>
  <si>
    <t>Formación De capital humano de alto nivel - Corporación Universidad de la Costa CUC II Nacional</t>
  </si>
  <si>
    <t xml:space="preserve">Formación de capital humano de alto nivel a través del otorgamiento de 6 créditos educativos condonables en el marco del programa Becas de Excelencia Doctoral del Bicentenario para los beneficiarios de os departamentos de Atlántico, Cesar, La Guajira y Sucre. El apoyo económico para la financiación de estudios doctorales incluye el pago de la matricula del semestre, el sostenimiento mensual y una pasantía en el exterior durante el periodo de estudio. </t>
  </si>
  <si>
    <t>2021000100033</t>
  </si>
  <si>
    <t>Formación DE CAPITAL HUMANO DE ALTO NIVEL UNIVERSIDAD TECNOLÓGICA DE BOLÍVAR Nacional</t>
  </si>
  <si>
    <t xml:space="preserve">Incrementar las capacidades del talento humano en investigación de calidad e impacto </t>
  </si>
  <si>
    <t>2021000100048</t>
  </si>
  <si>
    <t>INSTITUCION UNIVERSITARIA ITSA</t>
  </si>
  <si>
    <t>Implementación de soluciones para el aprovechamiento de oportunidades de ahorro de electricidad y fuentes no convencionales de energía para el desarrollo del turismo sostenible en el Archipiélago de San Andres y Providencia</t>
  </si>
  <si>
    <t>Implementar 200 soluciones para el aprovechamiento de oportunidades de ahorro de electricidad y fuentes no convencionales de energía para el desarrollo del turismo sostenible en el Archipiélago de San Andres y Providencia</t>
  </si>
  <si>
    <t>San Andrés</t>
  </si>
  <si>
    <t>2021000100052</t>
  </si>
  <si>
    <t>Fortalecimiento de la economía circular a través de la generación de valor agregado a partir de residuos agrícolas en los departamentos de Córdoba y Sucre</t>
  </si>
  <si>
    <t xml:space="preserve">Incremento en 50% del número de investigadores que realizan investigación científica en residuos agrícolas para producir materiales y sustancias con valor agregado en los departamento de Córdoba y Sucre. </t>
  </si>
  <si>
    <t>San Antero, Guaranda, Chinú, Montería, Sincelejo, Moñitos, Cereté, Los Córdobas, Puerto Escondido, Sucre, San Bernardo del Viento, Majagual</t>
  </si>
  <si>
    <t>2021000100078</t>
  </si>
  <si>
    <t>Investigación en el manejo sostenible del sistema de fríjol caupí para mejorar la productividad y reducir los problemas de la inseguridad alimentaria del departamento de Córdoba Magdalena</t>
  </si>
  <si>
    <t xml:space="preserve">Se busca mejorar el sistema de producción de frijol caupí a través de cultivadores que mejoren la producción y oferta, tecnología sostenible, crear variedad arbustiva con alto rendimiento, producir 2 toneladas de semilla, mejorar densidad; identificar época de siembra, período crítico de malezas, mejor cepa parra control, agente de control biológico, mejor alternativa de cosecha, paquete tecnológico para mejor productividad, capacitar a 240 productores y entregar semilla a 1360 agricultores. </t>
  </si>
  <si>
    <t>liquidado</t>
  </si>
  <si>
    <t>Cotorra, Montería, Santa Marta, Cereté, Fundación, Plato</t>
  </si>
  <si>
    <t>2021000100084</t>
  </si>
  <si>
    <t>Fortalecimiento de las capacidades institucionales para la investigación del cultivo y reproducción inducida de la lisa (Mugil incilis) como una alternativa para su conservación en el Caribe Colombiano Magdalena</t>
  </si>
  <si>
    <t xml:space="preserve">Mejoramiento de las capacidades institucionales de investigación de las IES públicas participantes en la alianza, mediante la dotación de laboratorios, con equipos de punta e insumos esenciales para el desarrollo óptimo de las investigaciones y el diseño de un plan de explotación pesquero sostenible, a través del estudio de la fisiología de la especie, para establecer un plan de conservación de la lisa y la seguridad alimentaria de las comunidades de Puebloviejo, Ciénaga Grande de Santa Marta. </t>
  </si>
  <si>
    <t>2021000100229</t>
  </si>
  <si>
    <t>Generación de capacidades tecnológicas para el desarrollo de policultivos de especies de interés piscícola como una alternativa complementaria para el fortalecimiento de la seguridad alimentaria en el Departamento de Sucre</t>
  </si>
  <si>
    <t xml:space="preserve">Transferir al 1,98% de la población rural, un modelo productivo de policultivo de especies de interés acuícola, en el municipio de Sincelejo departamento de Sucre. </t>
  </si>
  <si>
    <t>2021000100535</t>
  </si>
  <si>
    <t>Desarrollo de un programa para la mitigación de los gases de efecto invernadero generados por la ganadería bovina en los departamentos de Córdoba Bolívar Sucre</t>
  </si>
  <si>
    <t xml:space="preserve">Desarrollo de un programa para la mitigación de los gases de efecto invernadero generados por la ganadería bovina en los departamentos de Córdoba Bolívar Sucre </t>
  </si>
  <si>
    <t>Santa Cruz de Mompox, Planeta Rica, San Benito Abad, Ayapel, San Marcos, Montería, Morales, Magangué, Sucre</t>
  </si>
  <si>
    <t>2021002700188</t>
  </si>
  <si>
    <t>Remodelación y ampliación del parque los abetos en el municipio de Sincé departamento de Sucre</t>
  </si>
  <si>
    <t xml:space="preserve">Mejoramiento de las condiciones actuales y ampliación del parque los abetos en el municipio de Sincé. </t>
  </si>
  <si>
    <t>San Luis de Sincé</t>
  </si>
  <si>
    <t>2021002700357</t>
  </si>
  <si>
    <t>CANACOL ENERGY COLOMBIA SAS</t>
  </si>
  <si>
    <t>Mejoramiento MEDIANTE EL USO DE PLACA HUELLA DE LA VÍA QUE DE SANTIAGO APÓSTOL CONDUCE AL CASCO URBANO DEL MUNICIPIO DE SAN BENITO ABAD (INTERSECCIÓN) EN EL MUNICIPIO DE SAN BENITO ABAD - DEPARTAMENTO DE Sucre</t>
  </si>
  <si>
    <t>SGR - Asignaciones directas
Recursos Propios - Canacol Energy Colombia SAS</t>
  </si>
  <si>
    <t>2021002700378</t>
  </si>
  <si>
    <t>Construcción de pavimento en concreto rígido en el casco urbano del municipio de Sincé departamento de Sucre</t>
  </si>
  <si>
    <t xml:space="preserve">La alternativa de solución es la construcción de pavimento en concreto rígido en los 19,57 kilómetros lineales (incluye redes de acueducto y alcantarillado y andenes), en los Barrios San Martin, San pedro, Guinea, San José, Colombia, las Brisas, Cascajito, Palacio, Pueblo Nuevo, Gaitán, las Margaritas, Buenos Aires, Charco colorado, El Socorro, El estanco (sector la Amarillera), La Ford, Transformación, La Ceja, La Esmeralda y el Centro, del municipio de Sincé. </t>
  </si>
  <si>
    <t>SGR - Asignación para la inversión local según NBI - Sincé
SGR - Asignación para la inversión regional 60%</t>
  </si>
  <si>
    <t>2021002700379</t>
  </si>
  <si>
    <t>MUNICIPIO DE GUARANDA</t>
  </si>
  <si>
    <t>Construcción de Pavimento Rígido y Obras de Urbanismo en la Vía de Acceso al Hospital en el Municipio de Guaranda Sucre</t>
  </si>
  <si>
    <t xml:space="preserve">Mejorar el tránsito vehicular y peatonal en la vía que conduce a la ESE Hospital del municipio de Guaranda mediante la construcción de pavimento rigido </t>
  </si>
  <si>
    <t>2021002700388</t>
  </si>
  <si>
    <t>MUNICIPIO DE SAN BENITO ABAD</t>
  </si>
  <si>
    <t>Pavimentación de vías urbanas en diferentes sectores en el municipio de san benito abad departamento de Sucre</t>
  </si>
  <si>
    <t xml:space="preserve">CONSTRUCCION DE 5,587ML DE VIAS URBANAS EN PAVIMENTO RIGIDO EN DIFERENTES CALLES DEL MUNICIPIO DE SAN BENITO ABAD, DEPARTAMENTO DE SUCRE. </t>
  </si>
  <si>
    <t>20211301011233</t>
  </si>
  <si>
    <t>Mejoramiento MEDIANTE PAVIMENTACIÓN EN CONCRETO RÍGIDO DE LA VÍA EL PORTÓN - LA YE DE LOS ARRASTRES EN LA MOJANA SUCREÑA ENTRE LOS MUNICIPIOS DE MAJAGUAL Y GUARANDA EN EL DEPARTAMENTO DE Sucre</t>
  </si>
  <si>
    <t>Mejorar el transito en la vía el portón la ye en la mojona en aras de mejorar el transito y reactivar la economía de las dos poblaciones</t>
  </si>
  <si>
    <t>2022000100058</t>
  </si>
  <si>
    <t>Implementación de un Centro de Innovación y Productividad con énfasis en el desarrollo de la manufactura en el departamento de Sucre</t>
  </si>
  <si>
    <t xml:space="preserve">Fortalecer el desarrollo tecnológico, la transferencia tecnológica y la innovación de las diferentes entidades del departamento de Sucre fomentando el uso y apropiación de la CTeI en 60 empresas del departamento desarrollando productos innovadores y prototipado 20 de estos desarrollos. </t>
  </si>
  <si>
    <t>2022000100095</t>
  </si>
  <si>
    <t xml:space="preserve">Fundación Centro de Excelencia en Sistemas de Innovación </t>
  </si>
  <si>
    <t>Desarrollo y socialización de una agenda regional de Investigación + Creación para las Industrias Creativas y Culturales en la Región Caribe Atlántico</t>
  </si>
  <si>
    <t xml:space="preserve">Fortalecimiento del sector de industrias creativas y culturales en la región Caribe a partir del mejoramiento de la capacidad institucional, normativa y política en ciencia, tecnología e innovación, específicamente en I+ </t>
  </si>
  <si>
    <t>2022000100097</t>
  </si>
  <si>
    <t>FundaciónBotánica yZoológica deBarranquilla</t>
  </si>
  <si>
    <t>Fortalecimiento de los centros de ciencia del caribe colombiano para la investigación innovación y apropiación social en los departamentos de Atlántico Bolívar Cesar Córdoba La Guajira Magdalena San Andres y Providencia Sucre</t>
  </si>
  <si>
    <t>Fortalecimiento de la oferta de servicios en CTeI en seis (6) centros de ciencia no reconocidos de los departamentos de Atlántico, Bolívar, Cesar, Córdoba, Guajira, Magdalena, San Andrés y Providencia y Sucre elegidos por medio de un proceso de convocatoria pública; a través de un programa de formación con experiencias educativas, investigativas o museológicas en sus respectivas áreas y campos de actividad</t>
  </si>
  <si>
    <t>2022002700159</t>
  </si>
  <si>
    <t>HOSPITAL UNIVERSITARIO DE SINCELEJO - ESE</t>
  </si>
  <si>
    <t>Implementación de dispositivos comunitarios en el marco de la Estrategia Sucre Escucha en el departamento de Sucre</t>
  </si>
  <si>
    <t xml:space="preserve">Implementación de acciones de promoción, prevención y reducción de riesgo de consumo de SPA focalizando población con edades entre los 10 y 19 años de edad, de los 26 municipios del departamento de Sucre, fortaleciendo la capacidad de gestión de alternativas de intervención desde la comunidad, identificando, caracterizando y capacitando actores institucionales y no institucionales; incluyendo la disposición de 27 unidades móviles – centros de escucha itinerantes. </t>
  </si>
  <si>
    <t>20221301010191</t>
  </si>
  <si>
    <t>MUNICIPIO DE SAN MARCOS</t>
  </si>
  <si>
    <t>Mejoramiento en pavimento rígido de la vía San Marcos - El Llano en la zona rural del municipio de San Marcos Departamento de Sucre</t>
  </si>
  <si>
    <t xml:space="preserve">Construccion de 9,7 kms en pavimento rigido en la via que comunica al el area urbana de san marcos a el llano en zona rural del municipio de san marcos </t>
  </si>
  <si>
    <t>San Marcos</t>
  </si>
  <si>
    <t>2023000100040</t>
  </si>
  <si>
    <t>PUNTO ESTRATEGICO RED DE CONSULTORES SAS</t>
  </si>
  <si>
    <t>Implementación del Proyecto Escalando la innovación en la Región Caribe dirigido a empresas de los sectores estratégicos en los departamentos de Bolívar Cesar Córdoba La Guajira Magdalena San Andres y Providencia Sucre</t>
  </si>
  <si>
    <t>Fortalecer las capacidades de innovación en empresas de sectores estratégicos, mediante la realización de 1 curso especializado en innovación, 1 entrenamiento en Sistema de Gestión de Innovación (SGI), para lograr 100 proyectos financiados, 100 empresas con SGI, 100 prototipos, 50 estudios de vigilancia tecnológica, 50 productos y/o procesos finales o mejorados y 14 facilitadores formados en innovación en los departamentos de Bolívar, San Andrés, Magdalena, Córdoba, Sucre, César, y La Guajira.</t>
  </si>
  <si>
    <t>2023000100050</t>
  </si>
  <si>
    <t>INSTITUTO DE INVESTIGACION DE RECURSOS BIOLOGICOS ALEXANDER VON HUMBOLDT</t>
  </si>
  <si>
    <t>Generación y gestión de conocimiento en biodiversidad territorial a partir del fortalecimiento de capacidades institucionales Nacional</t>
  </si>
  <si>
    <t>Fortalecimiento de capacidades del Instituto para gestionar el conocimiento en biodiversidad que atienda demandas territoriales, incrementando el procesamiento y almacenamiento de datos e información y el análisis de los usos desde la metagenómica y bioprospección. Impartir ocho cursos de métodos y técnicas de investigación al talento humano e implementar una estrategia de socialización del conocimiento con cajas de herramientas para el desarrollo de acciones dirigidas a actores de las regiones.</t>
  </si>
  <si>
    <t>Bogotá, D.C., Villa de Leyva</t>
  </si>
  <si>
    <t>2023002700170</t>
  </si>
  <si>
    <t xml:space="preserve">FONCOLOMBIA FONDO MIXTO PARA EL DESARROLLO INTEGRAL Y LA GESTION SOCIAL DE COLOMBIA </t>
  </si>
  <si>
    <t>Construcción de obras para la transformación del Arroyo Grande de Corozal y su entorno I Etapa en el departamento de Sucre</t>
  </si>
  <si>
    <t xml:space="preserve">Revestimiento del cauce natural del arroyo Grande de Corozal, desde desembocadura del arroyo Morroa hasta la calle 29, serán 1.172m; el canal existente no se intervendrá. El nuevo canal es de 10m de base x 3.5m de altura, con paredes y piso en concreto reforzado de 28 Mpa de 30cm de espesor, un box culvert triple, un box culvert doble y un box culvert sencillo. Demolición de puentes existentes; construcción de 12.854,99m2 de parques en la margen izquierda del arroyo aguas abajo. </t>
  </si>
  <si>
    <t>SGR - Asignación para la inversión regional 60%
SGR - Asignación para la inversión regional 60% - Gestión del riesgo y adaptación al cambio climático</t>
  </si>
  <si>
    <t>2024000100009</t>
  </si>
  <si>
    <t>Fortalecimiento de las capacidades tecnológicas e innovación en sistemas productivos y de transformación en materias primas agropecuarias que potencien la seguridad y sostenibilidad alimentaria en la subregión Montes de María del Departamento de Sucre</t>
  </si>
  <si>
    <t xml:space="preserve">IMPLEMENTAR PROCESOS DE INVESTIGACIÓN, DESARROLLO TECNOLÓGICO E INNOVACIÓN QUE CONTRIBUYAN A FORTALECER LA SEGURIDAD ALIMENTARIA, ASÍ COMO LAS CAPACIDADES PARA LA AGROINDUSTRIALIZACIÓN DE ASOCIACIONES PERTENECIENTES AL SECTOR AGROPECUARIO RELACIONADAS CON LOS CULTIVOS DE YUCA, ÑAME, BATATA Y SISTEMAS PISCÍCOLAS, PERMITIENDO EL DESARROLLO DE UN CAMPO PRODUCTIVO Y SOSTENIBLE, ESTABLECIENDO APROPIACIÓN SOCIAL DE CONOCIMIENTO, PROCESOS DE GENERACIÓN DE PROTOTIPOS Y DOCUMENTOS DE INVESTIGACIÓN </t>
  </si>
  <si>
    <t>SGR - Asignación para la inversión en ciencia, tecnología e innovación
SGR - Asignación para la inversión en ciencia, tecnología e innovación - Convocatorias</t>
  </si>
  <si>
    <t>Ovejas, Colosó, Morroa</t>
  </si>
  <si>
    <t>2024000100100</t>
  </si>
  <si>
    <t>Formación de capital humano de alto nivel para responder a los retos en Ciencia Tecnología e Innovación en los departamentos de Atlántico Bolívar Cesar Córdoba Magdalena La Guajira Archipiélago de San Andrés Providencia y Santa Catalina Sucre</t>
  </si>
  <si>
    <t xml:space="preserve">FORMACIÓN DE ALTO NIVEL MEDIANTE LA FINANCIACIÓN DE 59 CRÉDITOS CONDONABLES A NIVEL DE DOCTORADO EN UNIVERSIDADES DE LA REGIÓN CARIBE, PARA EL CAPITAL HUMANO DE LOS DEPARTAMENTOS DE ATLÁNTICO, BOLÍVAR, CESAR, CÓRDOBA, MAGDALENA, LA GUAJIRA, ARCHIPIÉLAGO DE SAN ANDRÉS, PROVIDENCIA Y SANTA CATALINA, Y SUCRE. </t>
  </si>
  <si>
    <t>2024000100122</t>
  </si>
  <si>
    <t>Diseño de un sistema de monitoreo hidroambiental: herramienta para promover la restauración conservación y adaptación frente al cambio climático de las cuencas bajas de los ríos Magdalena y Sinú en los departamentos Atlántico Bolívar Córdoba Magdalena Sucre</t>
  </si>
  <si>
    <t xml:space="preserve">INCREMENTAR HERRAMIENTAS DE CTEI PARA MONITOREAR EL DETERIORO AMBIENTAL Y LAS VARIACIONES GEOQUÍMICAS Y MORFODINÁMICAS EN LAS CUENCAS BAJAS DE LOS RÍOS MAGDALENA Y SINÚ, EN LOS DEPARTAMENTOS DE ATLÁNTICO, BOLÍVAR, CÓRDOBA, MAGDALENA Y SUCRE, CON EL FIN DE PROMOVER LA MITIGACIÓN DE IMPACTOS, REDUCCIÓN DE LA VULNERABILIDAD COSTERA Y ADAPTACIÓN ANTE EL CAMBIO CLIMÁTICO. </t>
  </si>
  <si>
    <t>2024000100130</t>
  </si>
  <si>
    <t>Estudio del Potencial de los Humedales como Depósitos de Carbono para la Mitigación del Cambio Climático en los Departamentos de Sucre Bolívar Atlántico Magdalena La Guajira Córdoba</t>
  </si>
  <si>
    <t>2024N001660002</t>
  </si>
  <si>
    <t>ASOCIACION CULTURAL AFROCOLOMBIANA DE BUENAVISTA-AFROSDEBUENAVISTA</t>
  </si>
  <si>
    <t>Elaboración DE UN PLAN DE ETNODESARROLLO COMO BASE PARA EL DESARROLLO Y MEJORAMIENTO DE LA CALIDAD DE VIDA DE LAS COMUNIDADES NARP DEL DEPARTAMENTO DE Sucre</t>
  </si>
  <si>
    <t>2025002700008</t>
  </si>
  <si>
    <t>MUNICIPIO DE BUENAVISTA</t>
  </si>
  <si>
    <t>Elaboración de los documentos para las etapas de diagnóstico formulación adopción del esquema de Ordenamiento Territorial del municipio de Buenavista del departamento de Sucre</t>
  </si>
  <si>
    <t>CONTRIBUIR AL MEJORAMIENTO DE LA GESTIÓN DEL ORDENAMIENTO TERRITORIAL EN EL MUNICIPIO DE BUENAVISTA DEL DEPARTAMENTO DE SUCRE</t>
  </si>
  <si>
    <t>Buenavista</t>
  </si>
  <si>
    <t>2025002700017</t>
  </si>
  <si>
    <t>MUNICIPIO DE SAMPUES</t>
  </si>
  <si>
    <t>Elaboración de los documentos para la revisión ajuste general e inclusión de determinantes ambientales y de gestión del riesgo del Plan Básico de Ordenamiento Territorial del municipio de Sampués del departamento de Sucre</t>
  </si>
  <si>
    <t>Sampués</t>
  </si>
  <si>
    <t>2025002700020</t>
  </si>
  <si>
    <t>FONCOLOMBIA FONDO MIXTO PARA EL DESARROLLO INTEGRAL Y LA GESTION SOCIAL DE COLOMBIA</t>
  </si>
  <si>
    <t>Mejoramiento en concreto rigido de tramos en la red vial urbana del municipio de Sincelejo departamento de Sucre</t>
  </si>
  <si>
    <t xml:space="preserve">MEJORAR LA RED VIAL URBANA EN SINCELEJO INTERVINIENDO 8,625 KMS DE VIAS </t>
  </si>
  <si>
    <t>20253201010018</t>
  </si>
  <si>
    <t>Implementación de acciones de recuperación ecológica participativa en áreas ambientales estratégicas en los municipios de Majagual y Guaranda del departamento de Sucre</t>
  </si>
  <si>
    <t>IMPLEMENTACIÓN DE ACCIONES DE RECUPERACIÓN ECOLÓGICA EN 3.040 HECTÁREAS DE 380 BENEFICIARIOS CON ESPECIES DE ALTA TOLERANCIA EN SUELOS DEGRADADOS EN LOS MUNICIPIOS DE MAJAGUAL Y GUARANDA EN EL DEPARTAMENTO DE SUCRE</t>
  </si>
  <si>
    <t>SGR - 20% de mayor recaudo destinado a la conservación de las áreas ambientales estratégicas y la lucha nacional contra la deforestación</t>
  </si>
  <si>
    <t>Guaranda, Majagual</t>
  </si>
  <si>
    <t>2020000100022</t>
  </si>
  <si>
    <t>Caracterización epidemiológica de la enfermedad asociada con la calidad del agua en la región Caribe: Sucre, Bolívar, Magdalena</t>
  </si>
  <si>
    <t xml:space="preserve">ncrementar el conocimiento científico sobre las enfermedades asociadas con la calidad del agua de consumo humano en los departamentos de Sucre, Bolívar y Magdalena, Región Caribe. </t>
  </si>
  <si>
    <t>Cartagena de Indias, Caimito, Guaranda, San Juan de Betulia, Santiago de Tolú, Ciénaga, Majagual</t>
  </si>
  <si>
    <t>2020000100635</t>
  </si>
  <si>
    <t>SERVICIO NACIONAL DE APRENDIZAJE SENA</t>
  </si>
  <si>
    <t>Desarrollo TRANSFERENCIA DE TECNOLOGÍA Y CONOCIMIENTO PARA LA INNOVACIÓN QUE ATIENDAN A LA RECUPERACIÓN ECONÓMICA DE PRODUCTORES PISCICOLAS DERIVADAS DE LA EMERGENCIA ECONÓMICA SOCIAL Y ECOLÓGICA CAUSADA POR EL COVID-19 EN EL DEPARTAMENTO DE Sucre</t>
  </si>
  <si>
    <t xml:space="preserve">Incrementar las transferencias tecnológicas y conocimiento para la innovación que atiendan la recuperación económica de 30 organizaciones de productores piscícolas en Sucre, a través del entrenamiento especializado en gestión de la innovación y sistemas productivos acuícolas, estudio de vigilancia tecnológica e inteligencia competitiva relacionados con paquetes tecnológicos a transferir a los beneficiarios y la Implementación de paquetes tecnológicos, estandarización y pruebas. </t>
  </si>
  <si>
    <t>2021002700095</t>
  </si>
  <si>
    <t>Construcción de puente vehicular ubicado sobre el arroyo grande de corozal en vía de acceso al municipio de San Juan de Betulia entre calles 19 y 20 en el municipio de corozal departamento de Sucre</t>
  </si>
  <si>
    <t>Construcción de puente vehicular de L=25 metros ubicado sobre el arroyo grande de corozal en la vía que comunica al municipio de Corozal entre calles 19 y 20, con el municipio de San Juan de Betulia, en el departamento de Sucre</t>
  </si>
  <si>
    <t>SGR - Asignaciones directas
SGR - Asignación para la inversión regional 60% - Gestión del riesgo y adaptación al cambio climático</t>
  </si>
  <si>
    <t>2021707170045</t>
  </si>
  <si>
    <t>Construcción de pavimento en concreto rígido de la carrera 9 entre calles 11 y 24 del casco urbano del municipio de San Pedro Sucre</t>
  </si>
  <si>
    <t xml:space="preserve">Mejoramiento de la transitabilidad de la carrera 9 entre calles 11 y 24 del casco urbano del municipio de San Pedro, consiste en la pavimentación de 1083m de vía, con ancho de 5,2m y un espesor de 0,23m </t>
  </si>
  <si>
    <t>SGR - Asignación para la inversión local según NBI - San Pedro
SGR - Asignación para la inversión regional 60%</t>
  </si>
  <si>
    <t>2023000020038</t>
  </si>
  <si>
    <t>Mejoramiento DE LA VÍA BUENAVISTA - GRANADA DEL K21+736 al K23+153 EN LOS MUNICIPIOS DE BUENAVISTA Y SINCÉ DEPARTAMENTO DE Sucre</t>
  </si>
  <si>
    <t>Mejorar la intercomunicación terrestre de una parte de la población rural con la zona urbana del municipio de Buenavista y Since Sucre</t>
  </si>
  <si>
    <t>2025002700037</t>
  </si>
  <si>
    <t>Construcción de obras para la transformación del arroyo grande de corozal y su entorno II etapa en el departamento de Sucre</t>
  </si>
  <si>
    <t xml:space="preserve">SGR - Asignaciones directas
SGR - Asignación para la inversión regional 60% </t>
  </si>
  <si>
    <t xml:space="preserve">SIN CONTRATAR </t>
  </si>
  <si>
    <t>ÍNDICE DE EFICIENCIA EN LA TERMINACIÓN</t>
  </si>
  <si>
    <t>CONSTRUCCIÓN DE 5 CENTRALES DE GENERACIÓN FOTOVOLTAICA PARA EL SUMINISTRO DE ENERGÍA EN ENTIDADES PÚBLICAS DEL MUNICIPIO DE COROZAL, MEDIANTE LA IMPLEMENTACIÓN DE SISTEMAS SOLARES FOTOVOLTAICOS.</t>
  </si>
  <si>
    <t>MEJORAMIENTO INTEGRAL DE LA INSTITUCIÓN EDUCATIVA GABRIEL GARCÍA MÁRQUEZ SEDE OSPINA PÉREZ II DEL MUNICIPIO DE COROZAL, MEDIANTE LA INTERVENCIÓN DE SU INFRAESTRUCTURA FÍSICA Y ELÉCTRICA PARA MEJORAR LAS CONDICIONES DE FORMACIÓN Y APRENDIZAJE DE LA COMUNIDAD EDUCATIVA.</t>
  </si>
  <si>
    <t>Infraestructura educativa mejorada</t>
  </si>
  <si>
    <t>SGR-Asignaciones directas</t>
  </si>
  <si>
    <t xml:space="preserve">FECHA DE SUSPENSIÓN DEL CONTRATO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</si>
</sst>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dd/mm/yyyy"/>
  </numFmts>
  <fonts count="4" x14ac:knownFonts="1">
    <font>
      <sz val="11"/>
      <color theme="1"/>
      <name val="Calibri"/>
      <family val="2"/>
      <scheme val="minor"/>
    </font>
    <font>
      <b/>
      <sz val="12"/>
      <color rgb="FFFFFFFF"/>
      <name val="Roboto"/>
      <family val="2"/>
    </font>
    <font>
      <b/>
      <sz val="10"/>
      <color rgb="FFFFFFFF"/>
      <name val="Roboto"/>
      <family val="2"/>
    </font>
    <font>
      <sz val="10"/>
      <color theme="1"/>
      <name val="Roboto"/>
      <family val="2"/>
    </font>
  </fonts>
  <fills count="7">
    <fill>
      <patternFill patternType="none"/>
    </fill>
    <fill>
      <patternFill patternType="gray125"/>
    </fill>
    <fill>
      <patternFill patternType="solid">
        <fgColor rgb="FFB7DEE8"/>
        <bgColor indexed="64"/>
      </patternFill>
    </fill>
    <fill>
      <patternFill patternType="solid">
        <fgColor rgb="FFF1A983"/>
        <bgColor indexed="64"/>
      </patternFill>
    </fill>
    <fill>
      <patternFill patternType="solid">
        <fgColor rgb="FF31869B"/>
        <bgColor indexed="64"/>
      </patternFill>
    </fill>
    <fill>
      <patternFill patternType="solid">
        <fgColor rgb="FFBE5014"/>
        <bgColor indexed="64"/>
      </patternFill>
    </fill>
    <fill>
      <patternFill patternType="solid">
        <fgColor rgb="FF9BBB5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3" fillId="0" borderId="1" xfId="0" applyFont="1" applyBorder="1" applyAlignment="1">
      <alignment horizontal="center" vertical="center" wrapText="1"/>
    </xf>
    <xf numFmtId="164" fontId="3" fillId="0" borderId="1" xfId="0" applyNumberFormat="1" applyFont="1" applyBorder="1" applyAlignment="1">
      <alignment horizontal="center" vertical="center" wrapText="1"/>
    </xf>
    <xf numFmtId="165" fontId="3" fillId="0" borderId="1" xfId="0" applyNumberFormat="1" applyFont="1" applyBorder="1" applyAlignment="1">
      <alignment horizontal="center" vertical="center" wrapText="1"/>
    </xf>
    <xf numFmtId="0" fontId="1"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cellXfs>
  <cellStyles count="1">
    <cellStyle name="Normal" xfId="0" builtinId="0"/>
  </cellStyles>
  <dxfs count="3">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theme="1"/>
        <name val="Roboto"/>
        <family val="2"/>
        <scheme val="none"/>
      </font>
      <numFmt numFmtId="165" formatCode="dd/mm/yyyy"/>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trizSeguimientoEvaluacion" displayName="MatrizSeguimientoEvaluacion" ref="A2:BB60" totalsRowShown="0">
  <autoFilter ref="A2:BB60" xr:uid="{00000000-0009-0000-0100-000001000000}"/>
  <tableColumns count="54">
    <tableColumn id="1" xr3:uid="{00000000-0010-0000-0000-000001000000}" name="BPIN"/>
    <tableColumn id="2" xr3:uid="{00000000-0010-0000-0000-000002000000}" name="ENTIDAD O SECRETARIA"/>
    <tableColumn id="3" xr3:uid="{00000000-0010-0000-0000-000003000000}" name="NOMBRE PROYECTO"/>
    <tableColumn id="4" xr3:uid="{00000000-0010-0000-0000-000004000000}" name="ALCANCE DEL PROYECTO"/>
    <tableColumn id="5" xr3:uid="{00000000-0010-0000-0000-000005000000}" name="SECTOR"/>
    <tableColumn id="6" xr3:uid="{00000000-0010-0000-0000-000006000000}" name="INDICADOR DE PRODUCTO MGA"/>
    <tableColumn id="7" xr3:uid="{00000000-0010-0000-0000-000007000000}" name="ESTADO PROYECTO"/>
    <tableColumn id="8" xr3:uid="{00000000-0010-0000-0000-000008000000}" name="ESTADO CONTRATO"/>
    <tableColumn id="9" xr3:uid="{00000000-0010-0000-0000-000009000000}" name="TIPO CONTRATO"/>
    <tableColumn id="10" xr3:uid="{00000000-0010-0000-0000-00000A000000}" name="FUENTE DE FINANCIACIÓN"/>
    <tableColumn id="11" xr3:uid="{00000000-0010-0000-0000-00000B000000}" name="VALOR SGR"/>
    <tableColumn id="12" xr3:uid="{00000000-0010-0000-0000-00000C000000}" name="VALOR NACIÓN"/>
    <tableColumn id="13" xr3:uid="{00000000-0010-0000-0000-00000D000000}" name="VALOR OTROS"/>
    <tableColumn id="14" xr3:uid="{00000000-0010-0000-0000-00000E000000}" name="VALOR OTRAS FUENTES NO SUIFP"/>
    <tableColumn id="15" xr3:uid="{00000000-0010-0000-0000-00000F000000}" name="VALOR TOTAL PROYECTO"/>
    <tableColumn id="16" xr3:uid="{00000000-0010-0000-0000-000010000000}" name="VALOR PAGOS"/>
    <tableColumn id="17" xr3:uid="{00000000-0010-0000-0000-000011000000}" name="ULTIMA FECHA PAGO"/>
    <tableColumn id="18" xr3:uid="{00000000-0010-0000-0000-000012000000}" name="FECHA DE MIGRACIÓN A GESPROY"/>
    <tableColumn id="19" xr3:uid="{00000000-0010-0000-0000-000013000000}" name="FECHA DE ASIGNACIÓN DE RECURSOS"/>
    <tableColumn id="20" xr3:uid="{00000000-0010-0000-0000-000014000000}" name="FECHA DE INCORPORACIÓN DE RECURSOS"/>
    <tableColumn id="21" xr3:uid="{00000000-0010-0000-0000-000015000000}" name="AVANCE FISICO"/>
    <tableColumn id="22" xr3:uid="{00000000-0010-0000-0000-000016000000}" name="AVANCE FINANCIERO"/>
    <tableColumn id="23" xr3:uid="{00000000-0010-0000-0000-000017000000}" name="CPI"/>
    <tableColumn id="24" xr3:uid="{00000000-0010-0000-0000-000018000000}" name="SPI"/>
    <tableColumn id="25" xr3:uid="{00000000-0010-0000-0000-000019000000}" name="FECHA APROBACIÓN PROYECTO"/>
    <tableColumn id="26" xr3:uid="{00000000-0010-0000-0000-00001A000000}" name="FECHA DE APERTURA DEL PRIMER PROCESO"/>
    <tableColumn id="27" xr3:uid="{00000000-0010-0000-0000-00001B000000}" name="FECHA DE SUSCRIPCIÓN DEL CONTRATO PRINCIPAL"/>
    <tableColumn id="28" xr3:uid="{00000000-0010-0000-0000-00001C000000}" name="FECHA DE SUSCRIPCIÓN DEL PRIMER CONTRATO"/>
    <tableColumn id="29" xr3:uid="{00000000-0010-0000-0000-00001D000000}" name="FECHA ACTA INICIO"/>
    <tableColumn id="30" xr3:uid="{00000000-0010-0000-0000-00001E000000}" name="HORIZONTE DEL PROYECTO"/>
    <tableColumn id="54" xr3:uid="{5E233D81-7827-4B0C-BCCB-CBA1ADD4E332}" name="FECHA DE SUSPENSIÓN DEL CONTRATO " dataDxfId="2"/>
    <tableColumn id="31" xr3:uid="{00000000-0010-0000-0000-00001F000000}" name="FECHA DE FINALIZACIÓN"/>
    <tableColumn id="32" xr3:uid="{00000000-0010-0000-0000-000020000000}" name="FECHA EN LA QUE PASO A ESTADO PARA CIERRE"/>
    <tableColumn id="33" xr3:uid="{00000000-0010-0000-0000-000021000000}" name="FECHA DE CORTE GESPROY"/>
    <tableColumn id="34" xr3:uid="{00000000-0010-0000-0000-000022000000}" name="INFORMACIÓN SOLICITADA"/>
    <tableColumn id="35" xr3:uid="{00000000-0010-0000-0000-000023000000}" name="INFORMACIÓN RECIBIDA"/>
    <tableColumn id="36" xr3:uid="{00000000-0010-0000-0000-000024000000}" name="FECHA DE RECIBO DE INFORMACIÓN"/>
    <tableColumn id="37" xr3:uid="{00000000-0010-0000-0000-000025000000}" name="DIAS DESDE LA APROBACIÓN HASTA APERTURA DEL PRIMER PROCESO"/>
    <tableColumn id="38" xr3:uid="{00000000-0010-0000-0000-000026000000}" name="DIAS DESDE LA APERTURA HASTA LA FIRMA DEL PRIMER CONTRATO"/>
    <tableColumn id="39" xr3:uid="{00000000-0010-0000-0000-000027000000}" name="DIAS DESDE LA FECHA DE SUSCRIPCIÓN HASTA LA FECHA DEL ACTA DE INICIO"/>
    <tableColumn id="40" xr3:uid="{00000000-0010-0000-0000-000028000000}" name="DESEMPEÑO EN EL CRONOGRAMA"/>
    <tableColumn id="41" xr3:uid="{00000000-0010-0000-0000-000029000000}" name="DESEMPEÑO EN EL COSTO"/>
    <tableColumn id="42" xr3:uid="{00000000-0010-0000-0000-00002A000000}" name="COLUMNA APOYO"/>
    <tableColumn id="43" xr3:uid="{00000000-0010-0000-0000-00002B000000}" name="BRECHA FISICO - FINANCIERA"/>
    <tableColumn id="44" xr3:uid="{00000000-0010-0000-0000-00002C000000}" name="CONTROL EXTERNALIDADES"/>
    <tableColumn id="45" xr3:uid="{00000000-0010-0000-0000-00002D000000}" name="CALIFICACIÓN DESEMPEÑO EN LA CONTRATACIÓN"/>
    <tableColumn id="46" xr3:uid="{00000000-0010-0000-0000-00002E000000}" name="CALIFICACIÓN INFORMACIÓN A TIEMPO"/>
    <tableColumn id="47" xr3:uid="{00000000-0010-0000-0000-00002F000000}" name="CALIFICACIÓN CALIDAD INFORMACIÓN"/>
    <tableColumn id="48" xr3:uid="{00000000-0010-0000-0000-000030000000}" name="COLUMNA APOYO 2"/>
    <tableColumn id="49" xr3:uid="{00000000-0010-0000-0000-000031000000}" name="CALIFICACIÓN EJECUCIÓN DEL PROYECTO"/>
    <tableColumn id="53" xr3:uid="{7C812041-A764-423A-8F04-DFE8AC012AC3}" name="ÍNDICE DE EFICIENCIA EN LA TERMINACIÓN" dataDxfId="1"/>
    <tableColumn id="50" xr3:uid="{00000000-0010-0000-0000-000032000000}" name="COMENTARIOS CALIFICACIÓN"/>
    <tableColumn id="51" xr3:uid="{00000000-0010-0000-0000-000033000000}" name="RESPONSABLE CARGUE EN GESPROY"/>
    <tableColumn id="52" xr3:uid="{00000000-0010-0000-0000-000034000000}" name="MUNICIPIOS"/>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trosEjecutoresDescentralizadas" displayName="OtrosEjecutoresDescentralizadas" ref="A2:AP18" totalsRowShown="0">
  <autoFilter ref="A2:AP18" xr:uid="{00000000-0009-0000-0100-000002000000}"/>
  <tableColumns count="42">
    <tableColumn id="1" xr3:uid="{00000000-0010-0000-0100-000001000000}" name="BPIN"/>
    <tableColumn id="2" xr3:uid="{00000000-0010-0000-0100-000002000000}" name="EJECUTOR"/>
    <tableColumn id="3" xr3:uid="{00000000-0010-0000-0100-000003000000}" name="NOMBRE DEL PROYECTO"/>
    <tableColumn id="4" xr3:uid="{00000000-0010-0000-0100-000004000000}" name="ALCANCE"/>
    <tableColumn id="5" xr3:uid="{00000000-0010-0000-0100-000005000000}" name="SECTOR"/>
    <tableColumn id="6" xr3:uid="{00000000-0010-0000-0100-000006000000}" name="FUENTE"/>
    <tableColumn id="7" xr3:uid="{00000000-0010-0000-0100-000007000000}" name="ESTADO PROYECTO"/>
    <tableColumn id="8" xr3:uid="{00000000-0010-0000-0100-000008000000}" name="ESTADO CONTRATO"/>
    <tableColumn id="9" xr3:uid="{00000000-0010-0000-0100-000009000000}" name="VALOR SGR"/>
    <tableColumn id="10" xr3:uid="{00000000-0010-0000-0100-00000A000000}" name="VALOR OTROS"/>
    <tableColumn id="11" xr3:uid="{00000000-0010-0000-0100-00000B000000}" name="VALOR TOTAL"/>
    <tableColumn id="12" xr3:uid="{00000000-0010-0000-0100-00000C000000}" name="FECHA DE MIGRACIÓN A GESPROY"/>
    <tableColumn id="13" xr3:uid="{00000000-0010-0000-0100-00000D000000}" name="FECHA DE ASIGNACIÓN DE RECURSOS"/>
    <tableColumn id="14" xr3:uid="{00000000-0010-0000-0100-00000E000000}" name="FECHA DE INCORPORACIÓN DE RECURSOS"/>
    <tableColumn id="15" xr3:uid="{00000000-0010-0000-0100-00000F000000}" name="AVANCE FÍSICO"/>
    <tableColumn id="16" xr3:uid="{00000000-0010-0000-0100-000010000000}" name="AVANCE FINANCIERO"/>
    <tableColumn id="17" xr3:uid="{00000000-0010-0000-0100-000011000000}" name="CPI"/>
    <tableColumn id="18" xr3:uid="{00000000-0010-0000-0100-000012000000}" name="SPI"/>
    <tableColumn id="19" xr3:uid="{00000000-0010-0000-0100-000013000000}" name="FECHA APROBACIÓN PROYECTO"/>
    <tableColumn id="20" xr3:uid="{00000000-0010-0000-0100-000014000000}" name="FECHA DE APERTURA DEL PRIMER PROCESO"/>
    <tableColumn id="21" xr3:uid="{00000000-0010-0000-0100-000015000000}" name="FECHA DE SUSCRIPCIÓN DEL CONTRATO PRINCIPAL"/>
    <tableColumn id="22" xr3:uid="{00000000-0010-0000-0100-000016000000}" name="FECHA DE SUSCRIPCIÓN DEL PRIMER CONTRATO"/>
    <tableColumn id="23" xr3:uid="{00000000-0010-0000-0100-000017000000}" name="FECHA ACTA INICIO"/>
    <tableColumn id="24" xr3:uid="{00000000-0010-0000-0100-000018000000}" name="HORIZONTE DEL PROYECTO"/>
    <tableColumn id="25" xr3:uid="{00000000-0010-0000-0100-000019000000}" name="FECHA EN LA QUE PASO A ESTADO PARA CIERRE"/>
    <tableColumn id="26" xr3:uid="{00000000-0010-0000-0100-00001A000000}" name="FECHA DE CORTE GESPROY"/>
    <tableColumn id="27" xr3:uid="{00000000-0010-0000-0100-00001B000000}" name="DIAS DESDE LA APROBACIÓN HASTA APERTURA DEL PRIMER PROCESO"/>
    <tableColumn id="28" xr3:uid="{00000000-0010-0000-0100-00001C000000}" name="DIAS DESDE LA APERTURA HASTA LA FIRMA DEL PRIMER CONTRATO"/>
    <tableColumn id="29" xr3:uid="{00000000-0010-0000-0100-00001D000000}" name="DIAS DESDE LA FECHA DE SUSCRIPCIÓN HASTA LA FECHA DEL ACTA DE INICIO"/>
    <tableColumn id="30" xr3:uid="{00000000-0010-0000-0100-00001E000000}" name="DESEMPEÑO EN EL CRONOGRAMA"/>
    <tableColumn id="31" xr3:uid="{00000000-0010-0000-0100-00001F000000}" name="DESEMPEÑO EN EL COSTO"/>
    <tableColumn id="32" xr3:uid="{00000000-0010-0000-0100-000020000000}" name="COLUMNA APOYO"/>
    <tableColumn id="33" xr3:uid="{00000000-0010-0000-0100-000021000000}" name="BRECHA FISICO - FINANCIERA"/>
    <tableColumn id="34" xr3:uid="{00000000-0010-0000-0100-000022000000}" name="CONTROL EXTERNALIDADES"/>
    <tableColumn id="35" xr3:uid="{00000000-0010-0000-0100-000023000000}" name="CALIFICACIÓN DESEMPEÑO EN LA CONTRATACIÓN"/>
    <tableColumn id="36" xr3:uid="{00000000-0010-0000-0100-000024000000}" name="CALIFICACIÓN INFORMACIÓN A TIEMPO"/>
    <tableColumn id="37" xr3:uid="{00000000-0010-0000-0100-000025000000}" name="CALIFICACIÓN CALIDAD INFORMACIÓN"/>
    <tableColumn id="38" xr3:uid="{00000000-0010-0000-0100-000026000000}" name="COLUMNA APOYO 2"/>
    <tableColumn id="39" xr3:uid="{00000000-0010-0000-0100-000027000000}" name="CALIFICACIÓN EJECUCIÓN DEL PROYECTO"/>
    <tableColumn id="42" xr3:uid="{EC9A1D6B-D33E-4C3B-8D81-501785A94C5D}" name="ÍNDICE DE EFICIENCIA EN LA TERMINACIÓN" dataDxfId="0"/>
    <tableColumn id="40" xr3:uid="{00000000-0010-0000-0100-000028000000}" name="COMENTARIOS CALIFICACIÓN"/>
    <tableColumn id="41" xr3:uid="{00000000-0010-0000-0100-000029000000}" name="MUNICIPIOS"/>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trosEjecutoresMunicipios" displayName="OtrosEjecutoresMunicipios" ref="A2:S104" totalsRowShown="0">
  <autoFilter ref="A2:S104" xr:uid="{00000000-0009-0000-0100-000003000000}"/>
  <tableColumns count="19">
    <tableColumn id="1" xr3:uid="{00000000-0010-0000-0200-000001000000}" name="BPIN"/>
    <tableColumn id="2" xr3:uid="{00000000-0010-0000-0200-000002000000}" name="EJECUTOR"/>
    <tableColumn id="3" xr3:uid="{00000000-0010-0000-0200-000003000000}" name="NOMBRE DEL PROYECTO"/>
    <tableColumn id="4" xr3:uid="{00000000-0010-0000-0200-000004000000}" name="ALCANCE"/>
    <tableColumn id="5" xr3:uid="{00000000-0010-0000-0200-000005000000}" name="SECTOR"/>
    <tableColumn id="6" xr3:uid="{00000000-0010-0000-0200-000006000000}" name="FUENTE"/>
    <tableColumn id="7" xr3:uid="{00000000-0010-0000-0200-000007000000}" name="ESTADO PROYECTO"/>
    <tableColumn id="8" xr3:uid="{00000000-0010-0000-0200-000008000000}" name="ESTADO CONTRATO"/>
    <tableColumn id="9" xr3:uid="{00000000-0010-0000-0200-000009000000}" name="VALOR SGR"/>
    <tableColumn id="10" xr3:uid="{00000000-0010-0000-0200-00000A000000}" name="VALOR OTROS"/>
    <tableColumn id="11" xr3:uid="{00000000-0010-0000-0200-00000B000000}" name="VALOR TOTAL"/>
    <tableColumn id="12" xr3:uid="{00000000-0010-0000-0200-00000C000000}" name="FECHA APROBACIÓN PROYECTO"/>
    <tableColumn id="13" xr3:uid="{00000000-0010-0000-0200-00000D000000}" name="FECHA DE ASIGNACIÓN DE RECURSOS"/>
    <tableColumn id="14" xr3:uid="{00000000-0010-0000-0200-00000E000000}" name="FECHA DE INCORPORACIÓN DE RECURSOS"/>
    <tableColumn id="15" xr3:uid="{00000000-0010-0000-0200-00000F000000}" name="FECHA ACTA INICIO"/>
    <tableColumn id="16" xr3:uid="{00000000-0010-0000-0200-000010000000}" name="AVANCE FÍSICO"/>
    <tableColumn id="17" xr3:uid="{00000000-0010-0000-0200-000011000000}" name="AVANCE FINANCIERO"/>
    <tableColumn id="18" xr3:uid="{00000000-0010-0000-0200-000012000000}" name="COMENTARIOS"/>
    <tableColumn id="19" xr3:uid="{00000000-0010-0000-0200-000013000000}" name="MUNICIPIOS"/>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B60"/>
  <sheetViews>
    <sheetView topLeftCell="AV1" zoomScale="98" zoomScaleNormal="98" workbookViewId="0">
      <selection activeCell="AY2" sqref="AY2"/>
    </sheetView>
  </sheetViews>
  <sheetFormatPr baseColWidth="10" defaultColWidth="8.88671875" defaultRowHeight="14.4" x14ac:dyDescent="0.3"/>
  <cols>
    <col min="1" max="2" width="25.6640625" customWidth="1"/>
    <col min="3" max="3" width="34.44140625" customWidth="1"/>
    <col min="4" max="35" width="25.6640625" customWidth="1"/>
    <col min="36" max="43" width="25.6640625" hidden="1" customWidth="1"/>
    <col min="44" max="51" width="25.6640625" customWidth="1"/>
    <col min="52" max="52" width="74.44140625" customWidth="1"/>
    <col min="53" max="53" width="33.88671875" customWidth="1"/>
    <col min="54" max="54" width="35.109375" customWidth="1"/>
  </cols>
  <sheetData>
    <row r="1" spans="1:54" ht="40.049999999999997" customHeight="1" x14ac:dyDescent="0.3">
      <c r="A1" s="7" t="s">
        <v>0</v>
      </c>
      <c r="B1" s="7"/>
      <c r="C1" s="7"/>
      <c r="D1" s="7"/>
      <c r="E1" s="7"/>
      <c r="F1" s="7"/>
      <c r="G1" s="7"/>
      <c r="H1" s="7"/>
      <c r="I1" s="7"/>
      <c r="J1" s="7"/>
      <c r="K1" s="7"/>
      <c r="L1" s="7"/>
      <c r="M1" s="7"/>
      <c r="N1" s="7"/>
      <c r="O1" s="7"/>
      <c r="P1" s="7"/>
      <c r="Q1" s="7"/>
      <c r="R1" s="7"/>
      <c r="S1" s="7"/>
      <c r="T1" s="7"/>
      <c r="U1" s="8" t="s">
        <v>1</v>
      </c>
      <c r="V1" s="8"/>
      <c r="W1" s="8"/>
      <c r="X1" s="8"/>
      <c r="Y1" s="8"/>
      <c r="Z1" s="8"/>
      <c r="AA1" s="8"/>
      <c r="AB1" s="8"/>
      <c r="AC1" s="8"/>
      <c r="AD1" s="8"/>
      <c r="AE1" s="8"/>
      <c r="AF1" s="8"/>
      <c r="AG1" s="8"/>
      <c r="AH1" s="8"/>
      <c r="AI1" s="8"/>
      <c r="AJ1" s="8"/>
      <c r="AK1" s="8"/>
      <c r="AL1" s="8"/>
      <c r="AM1" s="8"/>
      <c r="AN1" s="8"/>
      <c r="AO1" s="8"/>
      <c r="AP1" s="8"/>
      <c r="AQ1" s="8"/>
      <c r="AR1" s="8"/>
      <c r="AS1" s="8"/>
      <c r="AT1" s="7" t="s">
        <v>2</v>
      </c>
      <c r="AU1" s="7"/>
      <c r="AV1" s="7"/>
      <c r="AW1" s="7"/>
      <c r="AX1" s="7"/>
      <c r="AY1" s="7"/>
      <c r="AZ1" s="7"/>
      <c r="BA1" s="7"/>
      <c r="BB1" s="7"/>
    </row>
    <row r="2" spans="1:54" ht="70.05" customHeight="1" x14ac:dyDescent="0.3">
      <c r="A2" s="1" t="s">
        <v>3</v>
      </c>
      <c r="B2" s="1" t="s">
        <v>4</v>
      </c>
      <c r="C2" s="1" t="s">
        <v>5</v>
      </c>
      <c r="D2" s="1" t="s">
        <v>6</v>
      </c>
      <c r="E2" s="1" t="s">
        <v>7</v>
      </c>
      <c r="F2" s="1" t="s">
        <v>8</v>
      </c>
      <c r="G2" s="1" t="s">
        <v>9</v>
      </c>
      <c r="H2" s="1" t="s">
        <v>10</v>
      </c>
      <c r="I2" s="1" t="s">
        <v>11</v>
      </c>
      <c r="J2" s="1" t="s">
        <v>12</v>
      </c>
      <c r="K2" s="1" t="s">
        <v>13</v>
      </c>
      <c r="L2" s="1" t="s">
        <v>14</v>
      </c>
      <c r="M2" s="1" t="s">
        <v>15</v>
      </c>
      <c r="N2" s="1" t="s">
        <v>16</v>
      </c>
      <c r="O2" s="1" t="s">
        <v>17</v>
      </c>
      <c r="P2" s="1" t="s">
        <v>18</v>
      </c>
      <c r="Q2" s="1" t="s">
        <v>19</v>
      </c>
      <c r="R2" s="1" t="s">
        <v>20</v>
      </c>
      <c r="S2" s="1" t="s">
        <v>21</v>
      </c>
      <c r="T2" s="1" t="s">
        <v>22</v>
      </c>
      <c r="U2" s="2" t="s">
        <v>23</v>
      </c>
      <c r="V2" s="2" t="s">
        <v>24</v>
      </c>
      <c r="W2" s="2" t="s">
        <v>25</v>
      </c>
      <c r="X2" s="2" t="s">
        <v>26</v>
      </c>
      <c r="Y2" s="2" t="s">
        <v>27</v>
      </c>
      <c r="Z2" s="2" t="s">
        <v>28</v>
      </c>
      <c r="AA2" s="2" t="s">
        <v>29</v>
      </c>
      <c r="AB2" s="2" t="s">
        <v>30</v>
      </c>
      <c r="AC2" s="2" t="s">
        <v>31</v>
      </c>
      <c r="AD2" s="2" t="s">
        <v>32</v>
      </c>
      <c r="AE2" s="2" t="s">
        <v>1015</v>
      </c>
      <c r="AF2" s="2" t="s">
        <v>33</v>
      </c>
      <c r="AG2" s="2" t="s">
        <v>34</v>
      </c>
      <c r="AH2" s="2" t="s">
        <v>35</v>
      </c>
      <c r="AI2" s="2" t="s">
        <v>36</v>
      </c>
      <c r="AJ2" s="2" t="s">
        <v>37</v>
      </c>
      <c r="AK2" s="2" t="s">
        <v>38</v>
      </c>
      <c r="AL2" s="2" t="s">
        <v>39</v>
      </c>
      <c r="AM2" s="2" t="s">
        <v>40</v>
      </c>
      <c r="AN2" s="2" t="s">
        <v>41</v>
      </c>
      <c r="AO2" s="2" t="s">
        <v>42</v>
      </c>
      <c r="AP2" s="2" t="s">
        <v>43</v>
      </c>
      <c r="AQ2" s="2" t="s">
        <v>44</v>
      </c>
      <c r="AR2" s="2" t="s">
        <v>45</v>
      </c>
      <c r="AS2" s="2" t="s">
        <v>46</v>
      </c>
      <c r="AT2" s="1" t="s">
        <v>47</v>
      </c>
      <c r="AU2" s="1" t="s">
        <v>48</v>
      </c>
      <c r="AV2" s="1" t="s">
        <v>49</v>
      </c>
      <c r="AW2" s="1" t="s">
        <v>50</v>
      </c>
      <c r="AX2" s="1" t="s">
        <v>51</v>
      </c>
      <c r="AY2" s="1" t="s">
        <v>1010</v>
      </c>
      <c r="AZ2" s="1" t="s">
        <v>52</v>
      </c>
      <c r="BA2" s="3" t="s">
        <v>53</v>
      </c>
      <c r="BB2" s="3" t="s">
        <v>54</v>
      </c>
    </row>
    <row r="3" spans="1:54" ht="96" customHeight="1" x14ac:dyDescent="0.3">
      <c r="A3" s="4" t="s">
        <v>55</v>
      </c>
      <c r="B3" s="4" t="s">
        <v>56</v>
      </c>
      <c r="C3" s="4" t="s">
        <v>57</v>
      </c>
      <c r="D3" s="4" t="s">
        <v>58</v>
      </c>
      <c r="E3" s="4" t="s">
        <v>59</v>
      </c>
      <c r="F3" s="4" t="s">
        <v>60</v>
      </c>
      <c r="G3" s="4" t="s">
        <v>61</v>
      </c>
      <c r="H3" s="4" t="s">
        <v>62</v>
      </c>
      <c r="I3" s="4" t="s">
        <v>63</v>
      </c>
      <c r="J3" s="4" t="s">
        <v>64</v>
      </c>
      <c r="K3" s="5">
        <v>1548027380</v>
      </c>
      <c r="L3" s="5">
        <v>0</v>
      </c>
      <c r="M3" s="5">
        <v>0</v>
      </c>
      <c r="N3" s="5">
        <v>0</v>
      </c>
      <c r="O3" s="5">
        <v>1548027380</v>
      </c>
      <c r="P3" s="5">
        <v>1141660214</v>
      </c>
      <c r="Q3" s="6">
        <v>44189</v>
      </c>
      <c r="R3" s="6">
        <v>41534</v>
      </c>
      <c r="S3" s="6">
        <v>41202</v>
      </c>
      <c r="T3" s="6">
        <v>41285</v>
      </c>
      <c r="U3" s="5">
        <v>97.19</v>
      </c>
      <c r="V3" s="5">
        <v>73.75</v>
      </c>
      <c r="W3" s="4"/>
      <c r="X3" s="4"/>
      <c r="Y3" s="6">
        <v>41201</v>
      </c>
      <c r="Z3" s="6">
        <v>42237</v>
      </c>
      <c r="AA3" s="6">
        <v>42254</v>
      </c>
      <c r="AB3" s="6">
        <v>41971</v>
      </c>
      <c r="AC3" s="6">
        <v>42277</v>
      </c>
      <c r="AD3" s="6">
        <v>45260</v>
      </c>
      <c r="AE3" s="6"/>
      <c r="AF3" s="6">
        <v>45260</v>
      </c>
      <c r="AG3" s="6"/>
      <c r="AH3" s="6">
        <v>46157</v>
      </c>
      <c r="AI3" s="4" t="s">
        <v>65</v>
      </c>
      <c r="AJ3" s="4" t="s">
        <v>66</v>
      </c>
      <c r="AK3" s="6">
        <v>46157</v>
      </c>
      <c r="AL3" s="4"/>
      <c r="AM3" s="4"/>
      <c r="AN3" s="4"/>
      <c r="AO3" s="4" t="str">
        <f t="shared" ref="AO3:AO34" si="0">IF(AND($X3&gt;1.3,$G3="CONTRATADO EN EJECUCIÓN"),0,IF(AND($X3&gt;1.25,$X3&lt;=1.3,$G3="CONTRATADO EN EJECUCIÓN"),30,IF(AND($X3&gt;1.2,$X3&lt;=1.25,$G3="CONTRATADO EN EJECUCIÓN"),90,IF(AND($X3&gt;=0.84,$X3&lt;1.2,$G3="CONTRATADO EN EJECUCIÓN"),100,IF(AND($X3&gt;=0.38,$X3&lt;0.84,$G3="CONTRATADO EN EJECUCIÓN"),(($X3-0.38)/(0.84-0.38))*100,IF(AND($X3&lt;0.38,$G3="CONTRATADO EN EJECUCIÓN"),0,""))))))</f>
        <v/>
      </c>
      <c r="AP3" s="4" t="str">
        <f t="shared" ref="AP3:AP34" si="1">IF(AND($W3&gt;1.3,$G3="CONTRATADO EN EJECUCIÓN"),0,IF(AND($W3&gt;1.25,$W3&lt;=1.3,$G3="CONTRATADO EN EJECUCIÓN"),30,IF(AND($W3&gt;1.2,$W3&lt;=1.25,$G3="CONTRATADO EN EJECUCIÓN"),90,IF(AND($W3&gt;=0.84,$W3&lt;1.2,$G3="CONTRATADO EN EJECUCIÓN"),100,IF(AND($W3&gt;=0.38,$W3&lt;0.84,$G3="CONTRATADO EN EJECUCIÓN"),(($W3-0.38)/(0.84-0.38))*100,IF(AND($W3&lt;0.38,$G3="CONTRATADO EN EJECUCIÓN"),0,""))))))</f>
        <v/>
      </c>
      <c r="AQ3" s="4">
        <f t="shared" ref="AQ3:AQ34" si="2">IF(AND($V3&lt;60,($V3-$U3)&lt;=50),100,IF(AND($V3&lt;60,($V3-$U3)&gt;50),0,IF(AND($V3&gt;=60,$V3&lt;70,($V3-$U3)&lt;=40),100,IF(AND($V3&gt;=60,$V3&lt;70,($V3-$U3)&gt;40),0,IF(AND($V3&gt;=70,$V3&lt;80,($V3-$U3)&lt;=30),100,IF(AND($V3&gt;=70,$V3&lt;80,($V3-$U3)&gt;30),0,IF(AND($V3&gt;=80,$V3&lt;90,($V3-$U3)&lt;=20),100,IF(AND($V3&gt;=80,$V3&lt;90,($V3-$U3)&gt;20),0,IF(AND($V3&gt;=90,$V3&lt;=100,($V3-$U3)&lt;=10),100,IF(AND($V3&gt;=90,$V3&lt;=100,($V3-$U3)&gt;10),0,""))))))))))</f>
        <v>100</v>
      </c>
      <c r="AR3" s="4" t="str">
        <f t="shared" ref="AR3:AR34" si="3">IF(AND($U3&gt;$V3,$G3="CONTRATADO EN EJECUCIÓN"),100,IF(AND($V3&gt;$U3,($V3-$U3)&gt;50,$G3="CONTRATADO EN EJECUCIÓN"),0,IF(AND($V3&gt;$U3,($V3-$U3)&lt;=50,$V3&lt;=60),100,IF(AND($V3&gt;$U3,($V3-$U3)&lt;=50,$V3&gt;60),$AQ3,""))))</f>
        <v/>
      </c>
      <c r="AS3" s="4">
        <v>0</v>
      </c>
      <c r="AT3" s="5"/>
      <c r="AU3" s="4">
        <f t="shared" ref="AU3:AU34" si="4">IF(ISNUMBER($AK3),IF(DAY($AK3)=10,100,IF(DAY($AK3)=11,80,IF(DAY($AK3)=12,50,0))),"")</f>
        <v>0</v>
      </c>
      <c r="AV3" s="5">
        <v>0</v>
      </c>
      <c r="AW3" s="4">
        <f t="shared" ref="AW3:AW34" si="5">IF($AS3=0,100,IF($AS3=1,90,IF($AS3=2,75,IF($AS3=3,60,IF($AS3=4,50,IF($AS3=5,25,IF($AS3&gt;=6,0,"")))))))</f>
        <v>100</v>
      </c>
      <c r="AX3" s="4" t="str">
        <f t="shared" ref="AX3:AX34" si="6">IFERROR(IF($G3="CONTRATADO EN EJECUCIÓN",IF(AND(ISNUMBER($AD3),ISNUMBER($AH3),$AD3&lt;$AH3),0,IF($AS3&gt;=1,(IFERROR(IF(ISTEXT($AI3),($AO3*0.4+$AP3*0.2+$AR3*0.4),""),""))*$AW3/100,IFERROR(IF(ISTEXT($AI3),($AO3*0.4+$AP3*0.2+$AR3*0.4),""),""))),IF($G3="CONTRATADO SIN ACTA DE INICIO",IF(AND($AH3-$AB3&gt;=0,$AH3-$AB3&lt;=30),100,0),"")),"Revisar")</f>
        <v/>
      </c>
      <c r="AY3" s="4"/>
      <c r="AZ3" s="4" t="s">
        <v>67</v>
      </c>
      <c r="BA3" s="4" t="s">
        <v>68</v>
      </c>
      <c r="BB3" s="4" t="s">
        <v>69</v>
      </c>
    </row>
    <row r="4" spans="1:54" ht="70.05" customHeight="1" x14ac:dyDescent="0.3">
      <c r="A4" s="4" t="s">
        <v>70</v>
      </c>
      <c r="B4" s="4" t="s">
        <v>71</v>
      </c>
      <c r="C4" s="4" t="s">
        <v>72</v>
      </c>
      <c r="D4" s="4" t="s">
        <v>73</v>
      </c>
      <c r="E4" s="4" t="s">
        <v>74</v>
      </c>
      <c r="F4" s="4" t="s">
        <v>75</v>
      </c>
      <c r="G4" s="4" t="s">
        <v>61</v>
      </c>
      <c r="H4" s="4" t="s">
        <v>62</v>
      </c>
      <c r="I4" s="4" t="s">
        <v>76</v>
      </c>
      <c r="J4" s="4" t="s">
        <v>77</v>
      </c>
      <c r="K4" s="5">
        <v>5000000000</v>
      </c>
      <c r="L4" s="5">
        <v>0</v>
      </c>
      <c r="M4" s="5">
        <v>2520000000</v>
      </c>
      <c r="N4" s="5">
        <v>0</v>
      </c>
      <c r="O4" s="5">
        <v>7520000000</v>
      </c>
      <c r="P4" s="5">
        <v>4999998982.75</v>
      </c>
      <c r="Q4" s="6">
        <v>43829</v>
      </c>
      <c r="R4" s="6">
        <v>41534</v>
      </c>
      <c r="S4" s="6">
        <v>41264</v>
      </c>
      <c r="T4" s="6">
        <v>41327</v>
      </c>
      <c r="U4" s="5">
        <v>99.05</v>
      </c>
      <c r="V4" s="5">
        <v>100</v>
      </c>
      <c r="W4" s="4"/>
      <c r="X4" s="4"/>
      <c r="Y4" s="6">
        <v>41263</v>
      </c>
      <c r="Z4" s="6">
        <v>41586</v>
      </c>
      <c r="AA4" s="6">
        <v>41586</v>
      </c>
      <c r="AB4" s="6">
        <v>41586</v>
      </c>
      <c r="AC4" s="6">
        <v>41803</v>
      </c>
      <c r="AD4" s="6">
        <v>44742</v>
      </c>
      <c r="AE4" s="6"/>
      <c r="AF4" s="6"/>
      <c r="AG4" s="6"/>
      <c r="AH4" s="6">
        <v>46157</v>
      </c>
      <c r="AI4" s="4"/>
      <c r="AJ4" s="4"/>
      <c r="AK4" s="6"/>
      <c r="AL4" s="4"/>
      <c r="AM4" s="4"/>
      <c r="AN4" s="4"/>
      <c r="AO4" s="4" t="str">
        <f t="shared" si="0"/>
        <v/>
      </c>
      <c r="AP4" s="4" t="str">
        <f t="shared" si="1"/>
        <v/>
      </c>
      <c r="AQ4" s="4">
        <f t="shared" si="2"/>
        <v>100</v>
      </c>
      <c r="AR4" s="4">
        <f t="shared" si="3"/>
        <v>100</v>
      </c>
      <c r="AS4" s="4">
        <v>0</v>
      </c>
      <c r="AT4" s="5"/>
      <c r="AU4" s="4" t="str">
        <f t="shared" si="4"/>
        <v/>
      </c>
      <c r="AV4" s="5"/>
      <c r="AW4" s="4">
        <f t="shared" si="5"/>
        <v>100</v>
      </c>
      <c r="AX4" s="4" t="str">
        <f t="shared" si="6"/>
        <v/>
      </c>
      <c r="AY4" s="4"/>
      <c r="AZ4" s="4" t="s">
        <v>78</v>
      </c>
      <c r="BA4" s="4" t="s">
        <v>79</v>
      </c>
      <c r="BB4" s="4" t="s">
        <v>69</v>
      </c>
    </row>
    <row r="5" spans="1:54" ht="70.05" customHeight="1" x14ac:dyDescent="0.3">
      <c r="A5" s="4" t="s">
        <v>80</v>
      </c>
      <c r="B5" s="4" t="s">
        <v>81</v>
      </c>
      <c r="C5" s="4" t="s">
        <v>82</v>
      </c>
      <c r="D5" s="4" t="s">
        <v>83</v>
      </c>
      <c r="E5" s="4" t="s">
        <v>74</v>
      </c>
      <c r="F5" s="4" t="s">
        <v>84</v>
      </c>
      <c r="G5" s="4" t="s">
        <v>61</v>
      </c>
      <c r="H5" s="4" t="s">
        <v>62</v>
      </c>
      <c r="I5" s="4" t="s">
        <v>76</v>
      </c>
      <c r="J5" s="4" t="s">
        <v>77</v>
      </c>
      <c r="K5" s="5">
        <v>4081742194</v>
      </c>
      <c r="L5" s="5">
        <v>0</v>
      </c>
      <c r="M5" s="5">
        <v>1551552044</v>
      </c>
      <c r="N5" s="5">
        <v>0</v>
      </c>
      <c r="O5" s="5">
        <v>5633294238</v>
      </c>
      <c r="P5" s="5">
        <v>3947804318</v>
      </c>
      <c r="Q5" s="6">
        <v>43782</v>
      </c>
      <c r="R5" s="6">
        <v>41576</v>
      </c>
      <c r="S5" s="6">
        <v>41566</v>
      </c>
      <c r="T5" s="6">
        <v>41596</v>
      </c>
      <c r="U5" s="5">
        <v>98.69</v>
      </c>
      <c r="V5" s="5">
        <v>94.36</v>
      </c>
      <c r="W5" s="4"/>
      <c r="X5" s="4"/>
      <c r="Y5" s="6">
        <v>41565</v>
      </c>
      <c r="Z5" s="6">
        <v>41907</v>
      </c>
      <c r="AA5" s="6">
        <v>41908</v>
      </c>
      <c r="AB5" s="6">
        <v>41908</v>
      </c>
      <c r="AC5" s="6">
        <v>42038</v>
      </c>
      <c r="AD5" s="6">
        <v>44561</v>
      </c>
      <c r="AE5" s="6"/>
      <c r="AF5" s="6">
        <v>45689</v>
      </c>
      <c r="AG5" s="6"/>
      <c r="AH5" s="6">
        <v>46157</v>
      </c>
      <c r="AI5" s="4" t="s">
        <v>85</v>
      </c>
      <c r="AJ5" s="4" t="s">
        <v>86</v>
      </c>
      <c r="AK5" s="6">
        <v>46157</v>
      </c>
      <c r="AL5" s="4"/>
      <c r="AM5" s="4"/>
      <c r="AN5" s="4"/>
      <c r="AO5" s="4" t="str">
        <f t="shared" si="0"/>
        <v/>
      </c>
      <c r="AP5" s="4" t="str">
        <f t="shared" si="1"/>
        <v/>
      </c>
      <c r="AQ5" s="4">
        <f t="shared" si="2"/>
        <v>100</v>
      </c>
      <c r="AR5" s="4" t="str">
        <f t="shared" si="3"/>
        <v/>
      </c>
      <c r="AS5" s="4">
        <v>0</v>
      </c>
      <c r="AT5" s="5"/>
      <c r="AU5" s="4">
        <f t="shared" si="4"/>
        <v>0</v>
      </c>
      <c r="AV5" s="5">
        <v>0</v>
      </c>
      <c r="AW5" s="4">
        <f t="shared" si="5"/>
        <v>100</v>
      </c>
      <c r="AX5" s="4" t="str">
        <f t="shared" si="6"/>
        <v/>
      </c>
      <c r="AY5" s="4"/>
      <c r="AZ5" s="4" t="s">
        <v>87</v>
      </c>
      <c r="BA5" s="4" t="s">
        <v>79</v>
      </c>
      <c r="BB5" s="4" t="s">
        <v>69</v>
      </c>
    </row>
    <row r="6" spans="1:54" ht="70.05" customHeight="1" x14ac:dyDescent="0.3">
      <c r="A6" s="4" t="s">
        <v>88</v>
      </c>
      <c r="B6" s="4" t="s">
        <v>89</v>
      </c>
      <c r="C6" s="4" t="s">
        <v>90</v>
      </c>
      <c r="D6" s="4" t="s">
        <v>91</v>
      </c>
      <c r="E6" s="4" t="s">
        <v>74</v>
      </c>
      <c r="F6" s="4" t="s">
        <v>92</v>
      </c>
      <c r="G6" s="4" t="s">
        <v>93</v>
      </c>
      <c r="H6" s="4" t="s">
        <v>94</v>
      </c>
      <c r="I6" s="4" t="s">
        <v>76</v>
      </c>
      <c r="J6" s="4" t="s">
        <v>77</v>
      </c>
      <c r="K6" s="5">
        <v>14661580598</v>
      </c>
      <c r="L6" s="5">
        <v>0</v>
      </c>
      <c r="M6" s="5">
        <v>709988000</v>
      </c>
      <c r="N6" s="5">
        <v>0</v>
      </c>
      <c r="O6" s="5">
        <v>15371568598</v>
      </c>
      <c r="P6" s="5">
        <v>14655980598</v>
      </c>
      <c r="Q6" s="6">
        <v>42003</v>
      </c>
      <c r="R6" s="6">
        <v>41563</v>
      </c>
      <c r="S6" s="6">
        <v>41535</v>
      </c>
      <c r="T6" s="6">
        <v>41535</v>
      </c>
      <c r="U6" s="5">
        <v>95.65</v>
      </c>
      <c r="V6" s="5">
        <v>97.17</v>
      </c>
      <c r="W6" s="4">
        <v>0</v>
      </c>
      <c r="X6" s="4">
        <v>0</v>
      </c>
      <c r="Y6" s="6">
        <v>41474</v>
      </c>
      <c r="Z6" s="6">
        <v>41586</v>
      </c>
      <c r="AA6" s="6">
        <v>41586</v>
      </c>
      <c r="AB6" s="6">
        <v>41586</v>
      </c>
      <c r="AC6" s="6">
        <v>41586</v>
      </c>
      <c r="AD6" s="6">
        <v>45260</v>
      </c>
      <c r="AE6" s="6"/>
      <c r="AF6" s="6"/>
      <c r="AG6" s="6"/>
      <c r="AH6" s="6">
        <v>46157</v>
      </c>
      <c r="AI6" s="4" t="s">
        <v>95</v>
      </c>
      <c r="AJ6" s="4" t="s">
        <v>66</v>
      </c>
      <c r="AK6" s="6">
        <v>46157</v>
      </c>
      <c r="AL6" s="4"/>
      <c r="AM6" s="4"/>
      <c r="AN6" s="4"/>
      <c r="AO6" s="4">
        <f t="shared" si="0"/>
        <v>0</v>
      </c>
      <c r="AP6" s="4">
        <f t="shared" si="1"/>
        <v>0</v>
      </c>
      <c r="AQ6" s="4">
        <f t="shared" si="2"/>
        <v>100</v>
      </c>
      <c r="AR6" s="4">
        <f t="shared" si="3"/>
        <v>100</v>
      </c>
      <c r="AS6" s="4">
        <v>0</v>
      </c>
      <c r="AT6" s="5"/>
      <c r="AU6" s="4">
        <f t="shared" si="4"/>
        <v>0</v>
      </c>
      <c r="AV6" s="5">
        <v>0</v>
      </c>
      <c r="AW6" s="4">
        <f t="shared" si="5"/>
        <v>100</v>
      </c>
      <c r="AX6" s="4">
        <f t="shared" si="6"/>
        <v>0</v>
      </c>
      <c r="AY6" s="4"/>
      <c r="AZ6" s="4" t="s">
        <v>96</v>
      </c>
      <c r="BA6" s="4" t="s">
        <v>79</v>
      </c>
      <c r="BB6" s="4" t="s">
        <v>97</v>
      </c>
    </row>
    <row r="7" spans="1:54" ht="70.05" customHeight="1" x14ac:dyDescent="0.3">
      <c r="A7" s="4" t="s">
        <v>98</v>
      </c>
      <c r="B7" s="4" t="s">
        <v>99</v>
      </c>
      <c r="C7" s="4" t="s">
        <v>100</v>
      </c>
      <c r="D7" s="4" t="s">
        <v>101</v>
      </c>
      <c r="E7" s="4" t="s">
        <v>102</v>
      </c>
      <c r="F7" s="4" t="s">
        <v>103</v>
      </c>
      <c r="G7" s="4" t="s">
        <v>61</v>
      </c>
      <c r="H7" s="4" t="s">
        <v>62</v>
      </c>
      <c r="I7" s="4" t="s">
        <v>104</v>
      </c>
      <c r="J7" s="4" t="s">
        <v>105</v>
      </c>
      <c r="K7" s="5">
        <v>30476618849</v>
      </c>
      <c r="L7" s="5">
        <v>0</v>
      </c>
      <c r="M7" s="5">
        <v>422485223</v>
      </c>
      <c r="N7" s="5">
        <v>0</v>
      </c>
      <c r="O7" s="5">
        <v>30899104072</v>
      </c>
      <c r="P7" s="5">
        <v>30484288996.669998</v>
      </c>
      <c r="Q7" s="6">
        <v>46150</v>
      </c>
      <c r="R7" s="6">
        <v>42662</v>
      </c>
      <c r="S7" s="6">
        <v>42658</v>
      </c>
      <c r="T7" s="6">
        <v>42746</v>
      </c>
      <c r="U7" s="5">
        <v>100</v>
      </c>
      <c r="V7" s="5">
        <v>98.66</v>
      </c>
      <c r="W7" s="4"/>
      <c r="X7" s="4"/>
      <c r="Y7" s="6">
        <v>42657</v>
      </c>
      <c r="Z7" s="6">
        <v>42909</v>
      </c>
      <c r="AA7" s="6">
        <v>42986</v>
      </c>
      <c r="AB7" s="6">
        <v>42986</v>
      </c>
      <c r="AC7" s="6">
        <v>43207</v>
      </c>
      <c r="AD7" s="6">
        <v>45527</v>
      </c>
      <c r="AE7" s="6"/>
      <c r="AF7" s="6">
        <v>45527</v>
      </c>
      <c r="AG7" s="6"/>
      <c r="AH7" s="6">
        <v>46157</v>
      </c>
      <c r="AI7" s="4" t="s">
        <v>106</v>
      </c>
      <c r="AJ7" s="4" t="s">
        <v>107</v>
      </c>
      <c r="AK7" s="6">
        <v>46152</v>
      </c>
      <c r="AL7" s="4"/>
      <c r="AM7" s="4"/>
      <c r="AN7" s="4"/>
      <c r="AO7" s="4" t="str">
        <f t="shared" si="0"/>
        <v/>
      </c>
      <c r="AP7" s="4" t="str">
        <f t="shared" si="1"/>
        <v/>
      </c>
      <c r="AQ7" s="4">
        <f t="shared" si="2"/>
        <v>100</v>
      </c>
      <c r="AR7" s="4" t="str">
        <f t="shared" si="3"/>
        <v/>
      </c>
      <c r="AS7" s="4">
        <v>1</v>
      </c>
      <c r="AT7" s="5"/>
      <c r="AU7" s="4">
        <f t="shared" si="4"/>
        <v>100</v>
      </c>
      <c r="AV7" s="5">
        <v>50</v>
      </c>
      <c r="AW7" s="4">
        <f t="shared" si="5"/>
        <v>90</v>
      </c>
      <c r="AX7" s="4" t="str">
        <f t="shared" si="6"/>
        <v/>
      </c>
      <c r="AY7" s="4"/>
      <c r="AZ7" s="4" t="s">
        <v>108</v>
      </c>
      <c r="BA7" s="4" t="s">
        <v>109</v>
      </c>
      <c r="BB7" s="4" t="s">
        <v>110</v>
      </c>
    </row>
    <row r="8" spans="1:54" ht="70.05" customHeight="1" x14ac:dyDescent="0.3">
      <c r="A8" s="4" t="s">
        <v>111</v>
      </c>
      <c r="B8" s="4" t="s">
        <v>89</v>
      </c>
      <c r="C8" s="4" t="s">
        <v>112</v>
      </c>
      <c r="D8" s="4" t="s">
        <v>113</v>
      </c>
      <c r="E8" s="4" t="s">
        <v>74</v>
      </c>
      <c r="F8" s="4" t="s">
        <v>114</v>
      </c>
      <c r="G8" s="4" t="s">
        <v>61</v>
      </c>
      <c r="H8" s="4" t="s">
        <v>115</v>
      </c>
      <c r="I8" s="4" t="s">
        <v>76</v>
      </c>
      <c r="J8" s="4" t="s">
        <v>116</v>
      </c>
      <c r="K8" s="5">
        <v>11741345301</v>
      </c>
      <c r="L8" s="5">
        <v>0</v>
      </c>
      <c r="M8" s="5">
        <v>265600000</v>
      </c>
      <c r="N8" s="5">
        <v>0</v>
      </c>
      <c r="O8" s="5">
        <v>12006945301</v>
      </c>
      <c r="P8" s="5">
        <v>11473460596.700001</v>
      </c>
      <c r="Q8" s="6">
        <v>44868</v>
      </c>
      <c r="R8" s="6">
        <v>43019</v>
      </c>
      <c r="S8" s="6">
        <v>42914</v>
      </c>
      <c r="T8" s="6">
        <v>42823</v>
      </c>
      <c r="U8" s="5">
        <v>100</v>
      </c>
      <c r="V8" s="5">
        <v>97.77</v>
      </c>
      <c r="W8" s="4"/>
      <c r="X8" s="4"/>
      <c r="Y8" s="6">
        <v>42801</v>
      </c>
      <c r="Z8" s="6">
        <v>43048</v>
      </c>
      <c r="AA8" s="6">
        <v>43095</v>
      </c>
      <c r="AB8" s="6">
        <v>43095</v>
      </c>
      <c r="AC8" s="6">
        <v>43280</v>
      </c>
      <c r="AD8" s="6">
        <v>44926</v>
      </c>
      <c r="AE8" s="6"/>
      <c r="AF8" s="6">
        <v>44926</v>
      </c>
      <c r="AG8" s="6"/>
      <c r="AH8" s="6">
        <v>46157</v>
      </c>
      <c r="AI8" s="4" t="s">
        <v>65</v>
      </c>
      <c r="AJ8" s="4" t="s">
        <v>66</v>
      </c>
      <c r="AK8" s="6">
        <v>46157</v>
      </c>
      <c r="AL8" s="4"/>
      <c r="AM8" s="4"/>
      <c r="AN8" s="4"/>
      <c r="AO8" s="4" t="str">
        <f t="shared" si="0"/>
        <v/>
      </c>
      <c r="AP8" s="4" t="str">
        <f t="shared" si="1"/>
        <v/>
      </c>
      <c r="AQ8" s="4">
        <f t="shared" si="2"/>
        <v>100</v>
      </c>
      <c r="AR8" s="4" t="str">
        <f t="shared" si="3"/>
        <v/>
      </c>
      <c r="AS8" s="4">
        <v>0</v>
      </c>
      <c r="AT8" s="5"/>
      <c r="AU8" s="4">
        <f t="shared" si="4"/>
        <v>0</v>
      </c>
      <c r="AV8" s="5">
        <v>0</v>
      </c>
      <c r="AW8" s="4">
        <f t="shared" si="5"/>
        <v>100</v>
      </c>
      <c r="AX8" s="4" t="str">
        <f t="shared" si="6"/>
        <v/>
      </c>
      <c r="AY8" s="4"/>
      <c r="AZ8" s="4" t="s">
        <v>117</v>
      </c>
      <c r="BA8" s="4" t="s">
        <v>68</v>
      </c>
      <c r="BB8" s="4" t="s">
        <v>97</v>
      </c>
    </row>
    <row r="9" spans="1:54" ht="70.05" customHeight="1" x14ac:dyDescent="0.3">
      <c r="A9" s="4" t="s">
        <v>118</v>
      </c>
      <c r="B9" s="4" t="s">
        <v>99</v>
      </c>
      <c r="C9" s="4" t="s">
        <v>119</v>
      </c>
      <c r="D9" s="4" t="s">
        <v>120</v>
      </c>
      <c r="E9" s="4" t="s">
        <v>102</v>
      </c>
      <c r="F9" s="4" t="s">
        <v>121</v>
      </c>
      <c r="G9" s="4" t="s">
        <v>93</v>
      </c>
      <c r="H9" s="4" t="s">
        <v>94</v>
      </c>
      <c r="I9" s="4" t="s">
        <v>104</v>
      </c>
      <c r="J9" s="4" t="s">
        <v>64</v>
      </c>
      <c r="K9" s="5">
        <v>189749519481.00461</v>
      </c>
      <c r="L9" s="5">
        <v>0</v>
      </c>
      <c r="M9" s="5">
        <v>0</v>
      </c>
      <c r="N9" s="5">
        <v>0</v>
      </c>
      <c r="O9" s="5">
        <v>189749519481.00461</v>
      </c>
      <c r="P9" s="5">
        <v>188735128008.62</v>
      </c>
      <c r="Q9" s="6">
        <v>45656</v>
      </c>
      <c r="R9" s="6">
        <v>42942</v>
      </c>
      <c r="S9" s="6">
        <v>42923</v>
      </c>
      <c r="T9" s="6">
        <v>42970</v>
      </c>
      <c r="U9" s="5">
        <v>91.6</v>
      </c>
      <c r="V9" s="5">
        <v>99.47</v>
      </c>
      <c r="W9" s="4">
        <v>0</v>
      </c>
      <c r="X9" s="4">
        <v>0</v>
      </c>
      <c r="Y9" s="6">
        <v>42922</v>
      </c>
      <c r="Z9" s="6">
        <v>43249</v>
      </c>
      <c r="AA9" s="6">
        <v>43532</v>
      </c>
      <c r="AB9" s="6">
        <v>43532</v>
      </c>
      <c r="AC9" s="6">
        <v>43591</v>
      </c>
      <c r="AD9" s="6">
        <v>45467</v>
      </c>
      <c r="AE9" s="6"/>
      <c r="AF9" s="6">
        <v>45467</v>
      </c>
      <c r="AG9" s="6"/>
      <c r="AH9" s="6">
        <v>46157</v>
      </c>
      <c r="AI9" s="4" t="s">
        <v>122</v>
      </c>
      <c r="AJ9" s="4" t="s">
        <v>123</v>
      </c>
      <c r="AK9" s="6">
        <v>46152</v>
      </c>
      <c r="AL9" s="4"/>
      <c r="AM9" s="4"/>
      <c r="AN9" s="4"/>
      <c r="AO9" s="4">
        <f t="shared" si="0"/>
        <v>0</v>
      </c>
      <c r="AP9" s="4">
        <f t="shared" si="1"/>
        <v>0</v>
      </c>
      <c r="AQ9" s="4">
        <f t="shared" si="2"/>
        <v>100</v>
      </c>
      <c r="AR9" s="4">
        <f t="shared" si="3"/>
        <v>100</v>
      </c>
      <c r="AS9" s="4">
        <v>0</v>
      </c>
      <c r="AT9" s="5"/>
      <c r="AU9" s="4">
        <f t="shared" si="4"/>
        <v>100</v>
      </c>
      <c r="AV9" s="5">
        <v>0</v>
      </c>
      <c r="AW9" s="4">
        <f t="shared" si="5"/>
        <v>100</v>
      </c>
      <c r="AX9" s="4">
        <f t="shared" si="6"/>
        <v>0</v>
      </c>
      <c r="AY9" s="4"/>
      <c r="AZ9" s="4" t="s">
        <v>124</v>
      </c>
      <c r="BA9" s="4" t="s">
        <v>79</v>
      </c>
      <c r="BB9" s="4" t="s">
        <v>125</v>
      </c>
    </row>
    <row r="10" spans="1:54" ht="70.05" customHeight="1" x14ac:dyDescent="0.3">
      <c r="A10" s="4" t="s">
        <v>126</v>
      </c>
      <c r="B10" s="4" t="s">
        <v>81</v>
      </c>
      <c r="C10" s="4" t="s">
        <v>127</v>
      </c>
      <c r="D10" s="4" t="s">
        <v>128</v>
      </c>
      <c r="E10" s="4" t="s">
        <v>74</v>
      </c>
      <c r="F10" s="4" t="s">
        <v>129</v>
      </c>
      <c r="G10" s="4" t="s">
        <v>61</v>
      </c>
      <c r="H10" s="4" t="s">
        <v>62</v>
      </c>
      <c r="I10" s="4" t="s">
        <v>130</v>
      </c>
      <c r="J10" s="4" t="s">
        <v>77</v>
      </c>
      <c r="K10" s="5">
        <v>15331463849</v>
      </c>
      <c r="L10" s="5">
        <v>0</v>
      </c>
      <c r="M10" s="5">
        <v>201232188</v>
      </c>
      <c r="N10" s="5">
        <v>0</v>
      </c>
      <c r="O10" s="5">
        <v>15532696037</v>
      </c>
      <c r="P10" s="5">
        <v>15173637605</v>
      </c>
      <c r="Q10" s="6">
        <v>44918</v>
      </c>
      <c r="R10" s="6">
        <v>43815</v>
      </c>
      <c r="S10" s="6">
        <v>43790</v>
      </c>
      <c r="T10" s="6">
        <v>43789</v>
      </c>
      <c r="U10" s="5">
        <v>100</v>
      </c>
      <c r="V10" s="5">
        <v>98.98</v>
      </c>
      <c r="W10" s="4"/>
      <c r="X10" s="4"/>
      <c r="Y10" s="6">
        <v>43781</v>
      </c>
      <c r="Z10" s="6">
        <v>43819</v>
      </c>
      <c r="AA10" s="6">
        <v>43826</v>
      </c>
      <c r="AB10" s="6">
        <v>43826</v>
      </c>
      <c r="AC10" s="6">
        <v>43908</v>
      </c>
      <c r="AD10" s="6">
        <v>44742</v>
      </c>
      <c r="AE10" s="6"/>
      <c r="AF10" s="6">
        <v>44742</v>
      </c>
      <c r="AG10" s="6"/>
      <c r="AH10" s="6">
        <v>46157</v>
      </c>
      <c r="AI10" s="4" t="s">
        <v>131</v>
      </c>
      <c r="AJ10" s="4" t="s">
        <v>132</v>
      </c>
      <c r="AK10" s="6">
        <v>46157</v>
      </c>
      <c r="AL10" s="4"/>
      <c r="AM10" s="4"/>
      <c r="AN10" s="4"/>
      <c r="AO10" s="4" t="str">
        <f t="shared" si="0"/>
        <v/>
      </c>
      <c r="AP10" s="4" t="str">
        <f t="shared" si="1"/>
        <v/>
      </c>
      <c r="AQ10" s="4">
        <f t="shared" si="2"/>
        <v>100</v>
      </c>
      <c r="AR10" s="4" t="str">
        <f t="shared" si="3"/>
        <v/>
      </c>
      <c r="AS10" s="4">
        <v>0</v>
      </c>
      <c r="AT10" s="5"/>
      <c r="AU10" s="4">
        <f t="shared" si="4"/>
        <v>0</v>
      </c>
      <c r="AV10" s="5">
        <v>0</v>
      </c>
      <c r="AW10" s="4">
        <f t="shared" si="5"/>
        <v>100</v>
      </c>
      <c r="AX10" s="4" t="str">
        <f t="shared" si="6"/>
        <v/>
      </c>
      <c r="AY10" s="4"/>
      <c r="AZ10" s="4" t="s">
        <v>87</v>
      </c>
      <c r="BA10" s="4" t="s">
        <v>133</v>
      </c>
      <c r="BB10" s="4" t="s">
        <v>134</v>
      </c>
    </row>
    <row r="11" spans="1:54" ht="70.05" customHeight="1" x14ac:dyDescent="0.3">
      <c r="A11" s="4" t="s">
        <v>135</v>
      </c>
      <c r="B11" s="4" t="s">
        <v>81</v>
      </c>
      <c r="C11" s="4" t="s">
        <v>136</v>
      </c>
      <c r="D11" s="4" t="s">
        <v>137</v>
      </c>
      <c r="E11" s="4" t="s">
        <v>74</v>
      </c>
      <c r="F11" s="4" t="s">
        <v>138</v>
      </c>
      <c r="G11" s="4" t="s">
        <v>61</v>
      </c>
      <c r="H11" s="4" t="s">
        <v>62</v>
      </c>
      <c r="I11" s="4" t="s">
        <v>76</v>
      </c>
      <c r="J11" s="4" t="s">
        <v>77</v>
      </c>
      <c r="K11" s="5">
        <v>14300800098.139999</v>
      </c>
      <c r="L11" s="5">
        <v>0</v>
      </c>
      <c r="M11" s="5">
        <v>493878438</v>
      </c>
      <c r="N11" s="5">
        <v>0</v>
      </c>
      <c r="O11" s="5">
        <v>14794678536.139999</v>
      </c>
      <c r="P11" s="5">
        <v>13948285627.540001</v>
      </c>
      <c r="Q11" s="6">
        <v>44839</v>
      </c>
      <c r="R11" s="6">
        <v>43348</v>
      </c>
      <c r="S11" s="6">
        <v>43323</v>
      </c>
      <c r="T11" s="6">
        <v>43385</v>
      </c>
      <c r="U11" s="5">
        <v>97.37</v>
      </c>
      <c r="V11" s="5">
        <v>97.61</v>
      </c>
      <c r="W11" s="4"/>
      <c r="X11" s="4"/>
      <c r="Y11" s="6">
        <v>43322</v>
      </c>
      <c r="Z11" s="6">
        <v>43444</v>
      </c>
      <c r="AA11" s="6">
        <v>43508</v>
      </c>
      <c r="AB11" s="6">
        <v>43508</v>
      </c>
      <c r="AC11" s="6">
        <v>43543</v>
      </c>
      <c r="AD11" s="6">
        <v>44592</v>
      </c>
      <c r="AE11" s="6"/>
      <c r="AF11" s="6">
        <v>44592</v>
      </c>
      <c r="AG11" s="6"/>
      <c r="AH11" s="6">
        <v>46157</v>
      </c>
      <c r="AI11" s="4" t="s">
        <v>139</v>
      </c>
      <c r="AJ11" s="4" t="s">
        <v>132</v>
      </c>
      <c r="AK11" s="6">
        <v>46157</v>
      </c>
      <c r="AL11" s="4"/>
      <c r="AM11" s="4"/>
      <c r="AN11" s="4"/>
      <c r="AO11" s="4" t="str">
        <f t="shared" si="0"/>
        <v/>
      </c>
      <c r="AP11" s="4" t="str">
        <f t="shared" si="1"/>
        <v/>
      </c>
      <c r="AQ11" s="4">
        <f t="shared" si="2"/>
        <v>100</v>
      </c>
      <c r="AR11" s="4">
        <f t="shared" si="3"/>
        <v>100</v>
      </c>
      <c r="AS11" s="4">
        <v>0</v>
      </c>
      <c r="AT11" s="5"/>
      <c r="AU11" s="4">
        <f t="shared" si="4"/>
        <v>0</v>
      </c>
      <c r="AV11" s="5">
        <v>0</v>
      </c>
      <c r="AW11" s="4">
        <f t="shared" si="5"/>
        <v>100</v>
      </c>
      <c r="AX11" s="4" t="str">
        <f t="shared" si="6"/>
        <v/>
      </c>
      <c r="AY11" s="4"/>
      <c r="AZ11" s="4" t="s">
        <v>87</v>
      </c>
      <c r="BA11" s="4" t="s">
        <v>79</v>
      </c>
      <c r="BB11" s="4" t="s">
        <v>140</v>
      </c>
    </row>
    <row r="12" spans="1:54" ht="70.05" customHeight="1" x14ac:dyDescent="0.3">
      <c r="A12" s="4" t="s">
        <v>141</v>
      </c>
      <c r="B12" s="4" t="s">
        <v>99</v>
      </c>
      <c r="C12" s="4" t="s">
        <v>142</v>
      </c>
      <c r="D12" s="4" t="s">
        <v>143</v>
      </c>
      <c r="E12" s="4" t="s">
        <v>102</v>
      </c>
      <c r="F12" s="4" t="s">
        <v>144</v>
      </c>
      <c r="G12" s="4" t="s">
        <v>61</v>
      </c>
      <c r="H12" s="4" t="s">
        <v>62</v>
      </c>
      <c r="I12" s="4" t="s">
        <v>104</v>
      </c>
      <c r="J12" s="4" t="s">
        <v>145</v>
      </c>
      <c r="K12" s="5">
        <v>66912604863.639999</v>
      </c>
      <c r="L12" s="5">
        <v>0</v>
      </c>
      <c r="M12" s="5">
        <v>0</v>
      </c>
      <c r="N12" s="5">
        <v>0</v>
      </c>
      <c r="O12" s="5">
        <v>66912604863.639999</v>
      </c>
      <c r="P12" s="5">
        <v>65182688683.440002</v>
      </c>
      <c r="Q12" s="6">
        <v>45653</v>
      </c>
      <c r="R12" s="6">
        <v>43433</v>
      </c>
      <c r="S12" s="6">
        <v>43224</v>
      </c>
      <c r="T12" s="6">
        <v>43613</v>
      </c>
      <c r="U12" s="5">
        <v>99.61</v>
      </c>
      <c r="V12" s="5">
        <v>97.41</v>
      </c>
      <c r="W12" s="4"/>
      <c r="X12" s="4"/>
      <c r="Y12" s="6">
        <v>43193</v>
      </c>
      <c r="Z12" s="6">
        <v>43628</v>
      </c>
      <c r="AA12" s="6">
        <v>43753</v>
      </c>
      <c r="AB12" s="6">
        <v>43740</v>
      </c>
      <c r="AC12" s="6">
        <v>43781</v>
      </c>
      <c r="AD12" s="6">
        <v>45351</v>
      </c>
      <c r="AE12" s="6"/>
      <c r="AF12" s="6">
        <v>45351</v>
      </c>
      <c r="AG12" s="6"/>
      <c r="AH12" s="6">
        <v>46157</v>
      </c>
      <c r="AI12" s="4" t="s">
        <v>146</v>
      </c>
      <c r="AJ12" s="4" t="s">
        <v>147</v>
      </c>
      <c r="AK12" s="6">
        <v>46152</v>
      </c>
      <c r="AL12" s="4"/>
      <c r="AM12" s="4"/>
      <c r="AN12" s="4"/>
      <c r="AO12" s="4" t="str">
        <f t="shared" si="0"/>
        <v/>
      </c>
      <c r="AP12" s="4" t="str">
        <f t="shared" si="1"/>
        <v/>
      </c>
      <c r="AQ12" s="4">
        <f t="shared" si="2"/>
        <v>100</v>
      </c>
      <c r="AR12" s="4" t="str">
        <f t="shared" si="3"/>
        <v/>
      </c>
      <c r="AS12" s="4">
        <v>0</v>
      </c>
      <c r="AT12" s="5"/>
      <c r="AU12" s="4">
        <f t="shared" si="4"/>
        <v>100</v>
      </c>
      <c r="AV12" s="5">
        <v>0</v>
      </c>
      <c r="AW12" s="4">
        <f t="shared" si="5"/>
        <v>100</v>
      </c>
      <c r="AX12" s="4" t="str">
        <f t="shared" si="6"/>
        <v/>
      </c>
      <c r="AY12" s="4"/>
      <c r="AZ12" s="4" t="s">
        <v>148</v>
      </c>
      <c r="BA12" s="4" t="s">
        <v>133</v>
      </c>
      <c r="BB12" s="4" t="s">
        <v>149</v>
      </c>
    </row>
    <row r="13" spans="1:54" ht="70.05" customHeight="1" x14ac:dyDescent="0.3">
      <c r="A13" s="4" t="s">
        <v>150</v>
      </c>
      <c r="B13" s="4" t="s">
        <v>81</v>
      </c>
      <c r="C13" s="4" t="s">
        <v>151</v>
      </c>
      <c r="D13" s="4" t="s">
        <v>152</v>
      </c>
      <c r="E13" s="4" t="s">
        <v>153</v>
      </c>
      <c r="F13" s="4" t="s">
        <v>154</v>
      </c>
      <c r="G13" s="4" t="s">
        <v>93</v>
      </c>
      <c r="H13" s="4" t="s">
        <v>94</v>
      </c>
      <c r="I13" s="4" t="s">
        <v>155</v>
      </c>
      <c r="J13" s="4" t="s">
        <v>156</v>
      </c>
      <c r="K13" s="5">
        <v>14525812035</v>
      </c>
      <c r="L13" s="5">
        <v>0</v>
      </c>
      <c r="M13" s="5">
        <v>0</v>
      </c>
      <c r="N13" s="5">
        <v>0</v>
      </c>
      <c r="O13" s="5">
        <v>14525812035</v>
      </c>
      <c r="P13" s="5">
        <v>13157700631.99</v>
      </c>
      <c r="Q13" s="6">
        <v>45603</v>
      </c>
      <c r="R13" s="6">
        <v>45076</v>
      </c>
      <c r="S13" s="6">
        <v>45066</v>
      </c>
      <c r="T13" s="6">
        <v>45084</v>
      </c>
      <c r="U13" s="5">
        <v>0</v>
      </c>
      <c r="V13" s="5">
        <v>90.58</v>
      </c>
      <c r="W13" s="4">
        <v>0</v>
      </c>
      <c r="X13" s="4">
        <v>0</v>
      </c>
      <c r="Y13" s="6">
        <v>45064</v>
      </c>
      <c r="Z13" s="6">
        <v>45260</v>
      </c>
      <c r="AA13" s="6">
        <v>45289</v>
      </c>
      <c r="AB13" s="6">
        <v>45219</v>
      </c>
      <c r="AC13" s="6">
        <v>45301</v>
      </c>
      <c r="AD13" s="6">
        <v>45987</v>
      </c>
      <c r="AE13" s="6"/>
      <c r="AF13" s="6"/>
      <c r="AG13" s="6"/>
      <c r="AH13" s="6">
        <v>46157</v>
      </c>
      <c r="AI13" s="4" t="s">
        <v>157</v>
      </c>
      <c r="AJ13" s="4" t="s">
        <v>158</v>
      </c>
      <c r="AK13" s="6">
        <v>46152</v>
      </c>
      <c r="AL13" s="4"/>
      <c r="AM13" s="4"/>
      <c r="AN13" s="4"/>
      <c r="AO13" s="4">
        <f t="shared" si="0"/>
        <v>0</v>
      </c>
      <c r="AP13" s="4">
        <f t="shared" si="1"/>
        <v>0</v>
      </c>
      <c r="AQ13" s="4">
        <f t="shared" si="2"/>
        <v>0</v>
      </c>
      <c r="AR13" s="4">
        <f t="shared" si="3"/>
        <v>0</v>
      </c>
      <c r="AS13" s="4">
        <v>1</v>
      </c>
      <c r="AT13" s="5"/>
      <c r="AU13" s="4">
        <f t="shared" si="4"/>
        <v>100</v>
      </c>
      <c r="AV13" s="5">
        <v>100</v>
      </c>
      <c r="AW13" s="4">
        <f t="shared" si="5"/>
        <v>90</v>
      </c>
      <c r="AX13" s="4">
        <f t="shared" si="6"/>
        <v>0</v>
      </c>
      <c r="AY13" s="4"/>
      <c r="AZ13" s="4" t="s">
        <v>159</v>
      </c>
      <c r="BA13" s="4" t="s">
        <v>160</v>
      </c>
      <c r="BB13" s="4" t="s">
        <v>97</v>
      </c>
    </row>
    <row r="14" spans="1:54" ht="70.05" customHeight="1" x14ac:dyDescent="0.3">
      <c r="A14" s="4" t="s">
        <v>161</v>
      </c>
      <c r="B14" s="4" t="s">
        <v>99</v>
      </c>
      <c r="C14" s="4" t="s">
        <v>162</v>
      </c>
      <c r="D14" s="4" t="s">
        <v>163</v>
      </c>
      <c r="E14" s="4" t="s">
        <v>102</v>
      </c>
      <c r="F14" s="4" t="s">
        <v>164</v>
      </c>
      <c r="G14" s="4" t="s">
        <v>61</v>
      </c>
      <c r="H14" s="4" t="s">
        <v>62</v>
      </c>
      <c r="I14" s="4" t="s">
        <v>63</v>
      </c>
      <c r="J14" s="4" t="s">
        <v>105</v>
      </c>
      <c r="K14" s="5">
        <v>4457416400</v>
      </c>
      <c r="L14" s="5">
        <v>0</v>
      </c>
      <c r="M14" s="5">
        <v>0</v>
      </c>
      <c r="N14" s="5">
        <v>0</v>
      </c>
      <c r="O14" s="5">
        <v>4457416400</v>
      </c>
      <c r="P14" s="5">
        <v>4434194362.5</v>
      </c>
      <c r="Q14" s="6">
        <v>45656</v>
      </c>
      <c r="R14" s="6">
        <v>44199</v>
      </c>
      <c r="S14" s="6">
        <v>44196</v>
      </c>
      <c r="T14" s="6">
        <v>44239</v>
      </c>
      <c r="U14" s="5">
        <v>100</v>
      </c>
      <c r="V14" s="5">
        <v>99.48</v>
      </c>
      <c r="W14" s="4"/>
      <c r="X14" s="4"/>
      <c r="Y14" s="6">
        <v>44195</v>
      </c>
      <c r="Z14" s="6">
        <v>44376</v>
      </c>
      <c r="AA14" s="6">
        <v>44410</v>
      </c>
      <c r="AB14" s="6">
        <v>44410</v>
      </c>
      <c r="AC14" s="6">
        <v>44504</v>
      </c>
      <c r="AD14" s="6">
        <v>45577</v>
      </c>
      <c r="AE14" s="6"/>
      <c r="AF14" s="6">
        <v>45577</v>
      </c>
      <c r="AG14" s="6"/>
      <c r="AH14" s="6">
        <v>46157</v>
      </c>
      <c r="AI14" s="4" t="s">
        <v>165</v>
      </c>
      <c r="AJ14" s="4" t="s">
        <v>166</v>
      </c>
      <c r="AK14" s="6">
        <v>46152</v>
      </c>
      <c r="AL14" s="4"/>
      <c r="AM14" s="4"/>
      <c r="AN14" s="4"/>
      <c r="AO14" s="4" t="str">
        <f t="shared" si="0"/>
        <v/>
      </c>
      <c r="AP14" s="4" t="str">
        <f t="shared" si="1"/>
        <v/>
      </c>
      <c r="AQ14" s="4">
        <f t="shared" si="2"/>
        <v>100</v>
      </c>
      <c r="AR14" s="4" t="str">
        <f t="shared" si="3"/>
        <v/>
      </c>
      <c r="AS14" s="4">
        <v>1</v>
      </c>
      <c r="AT14" s="5"/>
      <c r="AU14" s="4">
        <f t="shared" si="4"/>
        <v>100</v>
      </c>
      <c r="AV14" s="5">
        <v>0</v>
      </c>
      <c r="AW14" s="4">
        <f t="shared" si="5"/>
        <v>90</v>
      </c>
      <c r="AX14" s="4" t="str">
        <f t="shared" si="6"/>
        <v/>
      </c>
      <c r="AY14" s="4"/>
      <c r="AZ14" s="4" t="s">
        <v>167</v>
      </c>
      <c r="BA14" s="4" t="s">
        <v>109</v>
      </c>
      <c r="BB14" s="4" t="s">
        <v>168</v>
      </c>
    </row>
    <row r="15" spans="1:54" ht="70.05" customHeight="1" x14ac:dyDescent="0.3">
      <c r="A15" s="4" t="s">
        <v>169</v>
      </c>
      <c r="B15" s="4" t="s">
        <v>81</v>
      </c>
      <c r="C15" s="4" t="s">
        <v>170</v>
      </c>
      <c r="D15" s="4" t="s">
        <v>171</v>
      </c>
      <c r="E15" s="4" t="s">
        <v>74</v>
      </c>
      <c r="F15" s="4" t="s">
        <v>172</v>
      </c>
      <c r="G15" s="4" t="s">
        <v>93</v>
      </c>
      <c r="H15" s="4" t="s">
        <v>94</v>
      </c>
      <c r="I15" s="4" t="s">
        <v>76</v>
      </c>
      <c r="J15" s="4" t="s">
        <v>116</v>
      </c>
      <c r="K15" s="5">
        <v>9991937324.4500008</v>
      </c>
      <c r="L15" s="5">
        <v>0</v>
      </c>
      <c r="M15" s="5">
        <v>239336814</v>
      </c>
      <c r="N15" s="5">
        <v>0</v>
      </c>
      <c r="O15" s="5">
        <v>10231274138.450001</v>
      </c>
      <c r="P15" s="5">
        <v>9677239657.1900005</v>
      </c>
      <c r="Q15" s="6">
        <v>45595</v>
      </c>
      <c r="R15" s="6">
        <v>44321</v>
      </c>
      <c r="S15" s="6">
        <v>44187</v>
      </c>
      <c r="T15" s="6">
        <v>44337</v>
      </c>
      <c r="U15" s="5">
        <v>56.9</v>
      </c>
      <c r="V15" s="5">
        <v>94.98</v>
      </c>
      <c r="W15" s="4">
        <v>0</v>
      </c>
      <c r="X15" s="4">
        <v>0</v>
      </c>
      <c r="Y15" s="6">
        <v>44183</v>
      </c>
      <c r="Z15" s="6">
        <v>44363</v>
      </c>
      <c r="AA15" s="6">
        <v>44463</v>
      </c>
      <c r="AB15" s="6">
        <v>44463</v>
      </c>
      <c r="AC15" s="6">
        <v>44545</v>
      </c>
      <c r="AD15" s="6">
        <v>46022</v>
      </c>
      <c r="AE15" s="6"/>
      <c r="AF15" s="6"/>
      <c r="AG15" s="6"/>
      <c r="AH15" s="6">
        <v>46157</v>
      </c>
      <c r="AI15" s="4" t="s">
        <v>173</v>
      </c>
      <c r="AJ15" s="4" t="s">
        <v>132</v>
      </c>
      <c r="AK15" s="6">
        <v>46157</v>
      </c>
      <c r="AL15" s="4"/>
      <c r="AM15" s="4"/>
      <c r="AN15" s="4"/>
      <c r="AO15" s="4">
        <f t="shared" si="0"/>
        <v>0</v>
      </c>
      <c r="AP15" s="4">
        <f t="shared" si="1"/>
        <v>0</v>
      </c>
      <c r="AQ15" s="4">
        <f t="shared" si="2"/>
        <v>0</v>
      </c>
      <c r="AR15" s="4">
        <f t="shared" si="3"/>
        <v>0</v>
      </c>
      <c r="AS15" s="4">
        <v>1</v>
      </c>
      <c r="AT15" s="5"/>
      <c r="AU15" s="4">
        <f t="shared" si="4"/>
        <v>0</v>
      </c>
      <c r="AV15" s="5">
        <v>0</v>
      </c>
      <c r="AW15" s="4">
        <f t="shared" si="5"/>
        <v>90</v>
      </c>
      <c r="AX15" s="4">
        <f t="shared" si="6"/>
        <v>0</v>
      </c>
      <c r="AY15" s="4"/>
      <c r="AZ15" s="4" t="s">
        <v>174</v>
      </c>
      <c r="BA15" s="4" t="s">
        <v>79</v>
      </c>
      <c r="BB15" s="4" t="s">
        <v>97</v>
      </c>
    </row>
    <row r="16" spans="1:54" ht="70.05" customHeight="1" x14ac:dyDescent="0.3">
      <c r="A16" s="4" t="s">
        <v>175</v>
      </c>
      <c r="B16" s="4" t="s">
        <v>81</v>
      </c>
      <c r="C16" s="4" t="s">
        <v>176</v>
      </c>
      <c r="D16" s="4" t="s">
        <v>177</v>
      </c>
      <c r="E16" s="4" t="s">
        <v>153</v>
      </c>
      <c r="F16" s="4" t="s">
        <v>178</v>
      </c>
      <c r="G16" s="4" t="s">
        <v>61</v>
      </c>
      <c r="H16" s="4" t="s">
        <v>62</v>
      </c>
      <c r="I16" s="4" t="s">
        <v>179</v>
      </c>
      <c r="J16" s="4" t="s">
        <v>105</v>
      </c>
      <c r="K16" s="5">
        <v>1582195518</v>
      </c>
      <c r="L16" s="5">
        <v>0</v>
      </c>
      <c r="M16" s="5">
        <v>0</v>
      </c>
      <c r="N16" s="5">
        <v>0</v>
      </c>
      <c r="O16" s="5">
        <v>1582195518</v>
      </c>
      <c r="P16" s="5">
        <v>1581551844.8</v>
      </c>
      <c r="Q16" s="6">
        <v>45358</v>
      </c>
      <c r="R16" s="6">
        <v>44737</v>
      </c>
      <c r="S16" s="6">
        <v>44729</v>
      </c>
      <c r="T16" s="6">
        <v>44774</v>
      </c>
      <c r="U16" s="5">
        <v>96.75</v>
      </c>
      <c r="V16" s="5">
        <v>99.96</v>
      </c>
      <c r="W16" s="4"/>
      <c r="X16" s="4"/>
      <c r="Y16" s="6">
        <v>44728</v>
      </c>
      <c r="Z16" s="6">
        <v>44854</v>
      </c>
      <c r="AA16" s="6">
        <v>44902</v>
      </c>
      <c r="AB16" s="6">
        <v>44902</v>
      </c>
      <c r="AC16" s="6">
        <v>44980</v>
      </c>
      <c r="AD16" s="6">
        <v>45287</v>
      </c>
      <c r="AE16" s="6"/>
      <c r="AF16" s="6">
        <v>45287</v>
      </c>
      <c r="AG16" s="6"/>
      <c r="AH16" s="6">
        <v>46157</v>
      </c>
      <c r="AI16" s="4" t="s">
        <v>180</v>
      </c>
      <c r="AJ16" s="4" t="s">
        <v>132</v>
      </c>
      <c r="AK16" s="6">
        <v>46157</v>
      </c>
      <c r="AL16" s="4"/>
      <c r="AM16" s="4"/>
      <c r="AN16" s="4"/>
      <c r="AO16" s="4" t="str">
        <f t="shared" si="0"/>
        <v/>
      </c>
      <c r="AP16" s="4" t="str">
        <f t="shared" si="1"/>
        <v/>
      </c>
      <c r="AQ16" s="4">
        <f t="shared" si="2"/>
        <v>100</v>
      </c>
      <c r="AR16" s="4">
        <f t="shared" si="3"/>
        <v>100</v>
      </c>
      <c r="AS16" s="4">
        <v>0</v>
      </c>
      <c r="AT16" s="5"/>
      <c r="AU16" s="4">
        <f t="shared" si="4"/>
        <v>0</v>
      </c>
      <c r="AV16" s="5">
        <v>0</v>
      </c>
      <c r="AW16" s="4">
        <f t="shared" si="5"/>
        <v>100</v>
      </c>
      <c r="AX16" s="4" t="str">
        <f t="shared" si="6"/>
        <v/>
      </c>
      <c r="AY16" s="4"/>
      <c r="AZ16" s="4" t="s">
        <v>87</v>
      </c>
      <c r="BA16" s="4" t="s">
        <v>133</v>
      </c>
      <c r="BB16" s="4" t="s">
        <v>181</v>
      </c>
    </row>
    <row r="17" spans="1:54" ht="70.05" customHeight="1" x14ac:dyDescent="0.3">
      <c r="A17" s="4" t="s">
        <v>182</v>
      </c>
      <c r="B17" s="4" t="s">
        <v>99</v>
      </c>
      <c r="C17" s="4" t="s">
        <v>183</v>
      </c>
      <c r="D17" s="4" t="s">
        <v>184</v>
      </c>
      <c r="E17" s="4" t="s">
        <v>102</v>
      </c>
      <c r="F17" s="4" t="s">
        <v>185</v>
      </c>
      <c r="G17" s="4" t="s">
        <v>93</v>
      </c>
      <c r="H17" s="4" t="s">
        <v>62</v>
      </c>
      <c r="I17" s="4" t="s">
        <v>104</v>
      </c>
      <c r="J17" s="4" t="s">
        <v>186</v>
      </c>
      <c r="K17" s="5">
        <v>16839824924.799999</v>
      </c>
      <c r="L17" s="5">
        <v>0</v>
      </c>
      <c r="M17" s="5">
        <v>0</v>
      </c>
      <c r="N17" s="5">
        <v>0</v>
      </c>
      <c r="O17" s="5">
        <v>16839824924.799999</v>
      </c>
      <c r="P17" s="5">
        <v>15214817530.110001</v>
      </c>
      <c r="Q17" s="6">
        <v>46020</v>
      </c>
      <c r="R17" s="6">
        <v>45084</v>
      </c>
      <c r="S17" s="6">
        <v>45066</v>
      </c>
      <c r="T17" s="6">
        <v>45100</v>
      </c>
      <c r="U17" s="5">
        <v>99.8</v>
      </c>
      <c r="V17" s="5">
        <v>90.35</v>
      </c>
      <c r="W17" s="4">
        <v>1</v>
      </c>
      <c r="X17" s="4">
        <v>1</v>
      </c>
      <c r="Y17" s="6">
        <v>45064</v>
      </c>
      <c r="Z17" s="6">
        <v>45212</v>
      </c>
      <c r="AA17" s="6">
        <v>45450</v>
      </c>
      <c r="AB17" s="6">
        <v>45386</v>
      </c>
      <c r="AC17" s="6">
        <v>45469</v>
      </c>
      <c r="AD17" s="6">
        <v>46137</v>
      </c>
      <c r="AE17" s="6"/>
      <c r="AF17" s="6"/>
      <c r="AG17" s="6"/>
      <c r="AH17" s="6">
        <v>46157</v>
      </c>
      <c r="AI17" s="4" t="s">
        <v>187</v>
      </c>
      <c r="AJ17" s="4" t="s">
        <v>188</v>
      </c>
      <c r="AK17" s="6">
        <v>46152</v>
      </c>
      <c r="AL17" s="4"/>
      <c r="AM17" s="4"/>
      <c r="AN17" s="4"/>
      <c r="AO17" s="4">
        <f t="shared" si="0"/>
        <v>100</v>
      </c>
      <c r="AP17" s="4">
        <f t="shared" si="1"/>
        <v>100</v>
      </c>
      <c r="AQ17" s="4">
        <f t="shared" si="2"/>
        <v>100</v>
      </c>
      <c r="AR17" s="4">
        <f t="shared" si="3"/>
        <v>100</v>
      </c>
      <c r="AS17" s="4">
        <v>2</v>
      </c>
      <c r="AT17" s="5"/>
      <c r="AU17" s="4">
        <f t="shared" si="4"/>
        <v>100</v>
      </c>
      <c r="AV17" s="5">
        <v>100</v>
      </c>
      <c r="AW17" s="4">
        <f t="shared" si="5"/>
        <v>75</v>
      </c>
      <c r="AX17" s="4">
        <f t="shared" si="6"/>
        <v>0</v>
      </c>
      <c r="AY17" s="4"/>
      <c r="AZ17" s="4" t="s">
        <v>189</v>
      </c>
      <c r="BA17" s="4" t="s">
        <v>133</v>
      </c>
      <c r="BB17" s="4" t="s">
        <v>190</v>
      </c>
    </row>
    <row r="18" spans="1:54" ht="70.05" customHeight="1" x14ac:dyDescent="0.3">
      <c r="A18" s="4" t="s">
        <v>191</v>
      </c>
      <c r="B18" s="4" t="s">
        <v>81</v>
      </c>
      <c r="C18" s="4" t="s">
        <v>192</v>
      </c>
      <c r="D18" s="4" t="s">
        <v>193</v>
      </c>
      <c r="E18" s="4" t="s">
        <v>74</v>
      </c>
      <c r="F18" s="4" t="s">
        <v>194</v>
      </c>
      <c r="G18" s="4" t="s">
        <v>93</v>
      </c>
      <c r="H18" s="4" t="s">
        <v>94</v>
      </c>
      <c r="I18" s="4" t="s">
        <v>76</v>
      </c>
      <c r="J18" s="4" t="s">
        <v>195</v>
      </c>
      <c r="K18" s="5">
        <v>3342400000</v>
      </c>
      <c r="L18" s="5">
        <v>0</v>
      </c>
      <c r="M18" s="5">
        <v>30000000</v>
      </c>
      <c r="N18" s="5">
        <v>0</v>
      </c>
      <c r="O18" s="5">
        <v>3372400000</v>
      </c>
      <c r="P18" s="5">
        <v>3286321003.9000001</v>
      </c>
      <c r="Q18" s="6">
        <v>45777</v>
      </c>
      <c r="R18" s="6">
        <v>44569</v>
      </c>
      <c r="S18" s="6">
        <v>44556</v>
      </c>
      <c r="T18" s="6">
        <v>44629</v>
      </c>
      <c r="U18" s="5">
        <v>100</v>
      </c>
      <c r="V18" s="5">
        <v>98.34</v>
      </c>
      <c r="W18" s="4">
        <v>0</v>
      </c>
      <c r="X18" s="4">
        <v>0</v>
      </c>
      <c r="Y18" s="6">
        <v>44552</v>
      </c>
      <c r="Z18" s="6">
        <v>44825</v>
      </c>
      <c r="AA18" s="6">
        <v>44833</v>
      </c>
      <c r="AB18" s="6">
        <v>44833</v>
      </c>
      <c r="AC18" s="6">
        <v>44925</v>
      </c>
      <c r="AD18" s="6">
        <v>45549</v>
      </c>
      <c r="AE18" s="6"/>
      <c r="AF18" s="6"/>
      <c r="AG18" s="6"/>
      <c r="AH18" s="6">
        <v>46157</v>
      </c>
      <c r="AI18" s="4" t="s">
        <v>196</v>
      </c>
      <c r="AJ18" s="4" t="s">
        <v>132</v>
      </c>
      <c r="AK18" s="6">
        <v>46157</v>
      </c>
      <c r="AL18" s="4"/>
      <c r="AM18" s="4"/>
      <c r="AN18" s="4"/>
      <c r="AO18" s="4">
        <f t="shared" si="0"/>
        <v>0</v>
      </c>
      <c r="AP18" s="4">
        <f t="shared" si="1"/>
        <v>0</v>
      </c>
      <c r="AQ18" s="4">
        <f t="shared" si="2"/>
        <v>100</v>
      </c>
      <c r="AR18" s="4">
        <f t="shared" si="3"/>
        <v>100</v>
      </c>
      <c r="AS18" s="4">
        <v>1</v>
      </c>
      <c r="AT18" s="5"/>
      <c r="AU18" s="4">
        <f t="shared" si="4"/>
        <v>0</v>
      </c>
      <c r="AV18" s="5">
        <v>0</v>
      </c>
      <c r="AW18" s="4">
        <f t="shared" si="5"/>
        <v>90</v>
      </c>
      <c r="AX18" s="4">
        <f t="shared" si="6"/>
        <v>0</v>
      </c>
      <c r="AY18" s="4"/>
      <c r="AZ18" s="4" t="s">
        <v>197</v>
      </c>
      <c r="BA18" s="4" t="s">
        <v>79</v>
      </c>
      <c r="BB18" s="4" t="s">
        <v>97</v>
      </c>
    </row>
    <row r="19" spans="1:54" ht="70.05" customHeight="1" x14ac:dyDescent="0.3">
      <c r="A19" s="4" t="s">
        <v>198</v>
      </c>
      <c r="B19" s="4" t="s">
        <v>81</v>
      </c>
      <c r="C19" s="4" t="s">
        <v>199</v>
      </c>
      <c r="D19" s="4" t="s">
        <v>200</v>
      </c>
      <c r="E19" s="4" t="s">
        <v>74</v>
      </c>
      <c r="F19" s="4" t="s">
        <v>194</v>
      </c>
      <c r="G19" s="4" t="s">
        <v>93</v>
      </c>
      <c r="H19" s="4" t="s">
        <v>94</v>
      </c>
      <c r="I19" s="4" t="s">
        <v>76</v>
      </c>
      <c r="J19" s="4" t="s">
        <v>195</v>
      </c>
      <c r="K19" s="5">
        <v>990000000</v>
      </c>
      <c r="L19" s="5">
        <v>0</v>
      </c>
      <c r="M19" s="5">
        <v>30000000</v>
      </c>
      <c r="N19" s="5">
        <v>0</v>
      </c>
      <c r="O19" s="5">
        <v>1020000000</v>
      </c>
      <c r="P19" s="5">
        <v>910522475.99000001</v>
      </c>
      <c r="Q19" s="6">
        <v>45653</v>
      </c>
      <c r="R19" s="6">
        <v>44569</v>
      </c>
      <c r="S19" s="6">
        <v>44556</v>
      </c>
      <c r="T19" s="6">
        <v>44629</v>
      </c>
      <c r="U19" s="5">
        <v>100</v>
      </c>
      <c r="V19" s="5">
        <v>92.21</v>
      </c>
      <c r="W19" s="4">
        <v>0</v>
      </c>
      <c r="X19" s="4">
        <v>0</v>
      </c>
      <c r="Y19" s="6">
        <v>44552</v>
      </c>
      <c r="Z19" s="6">
        <v>44775</v>
      </c>
      <c r="AA19" s="6">
        <v>44833</v>
      </c>
      <c r="AB19" s="6">
        <v>44833</v>
      </c>
      <c r="AC19" s="6">
        <v>44925</v>
      </c>
      <c r="AD19" s="6">
        <v>45549</v>
      </c>
      <c r="AE19" s="6"/>
      <c r="AF19" s="6"/>
      <c r="AG19" s="6"/>
      <c r="AH19" s="6">
        <v>46157</v>
      </c>
      <c r="AI19" s="4" t="s">
        <v>201</v>
      </c>
      <c r="AJ19" s="4" t="s">
        <v>132</v>
      </c>
      <c r="AK19" s="6">
        <v>46157</v>
      </c>
      <c r="AL19" s="4"/>
      <c r="AM19" s="4"/>
      <c r="AN19" s="4"/>
      <c r="AO19" s="4">
        <f t="shared" si="0"/>
        <v>0</v>
      </c>
      <c r="AP19" s="4">
        <f t="shared" si="1"/>
        <v>0</v>
      </c>
      <c r="AQ19" s="4">
        <f t="shared" si="2"/>
        <v>100</v>
      </c>
      <c r="AR19" s="4">
        <f t="shared" si="3"/>
        <v>100</v>
      </c>
      <c r="AS19" s="4">
        <v>1</v>
      </c>
      <c r="AT19" s="5"/>
      <c r="AU19" s="4">
        <f t="shared" si="4"/>
        <v>0</v>
      </c>
      <c r="AV19" s="5">
        <v>0</v>
      </c>
      <c r="AW19" s="4">
        <f t="shared" si="5"/>
        <v>90</v>
      </c>
      <c r="AX19" s="4">
        <f t="shared" si="6"/>
        <v>0</v>
      </c>
      <c r="AY19" s="4"/>
      <c r="AZ19" s="4" t="s">
        <v>202</v>
      </c>
      <c r="BA19" s="4" t="s">
        <v>79</v>
      </c>
      <c r="BB19" s="4" t="s">
        <v>203</v>
      </c>
    </row>
    <row r="20" spans="1:54" ht="70.05" customHeight="1" x14ac:dyDescent="0.3">
      <c r="A20" s="4" t="s">
        <v>204</v>
      </c>
      <c r="B20" s="4" t="s">
        <v>81</v>
      </c>
      <c r="C20" s="4" t="s">
        <v>205</v>
      </c>
      <c r="D20" s="4" t="s">
        <v>206</v>
      </c>
      <c r="E20" s="4" t="s">
        <v>74</v>
      </c>
      <c r="F20" s="4" t="s">
        <v>207</v>
      </c>
      <c r="G20" s="4" t="s">
        <v>61</v>
      </c>
      <c r="H20" s="4" t="s">
        <v>62</v>
      </c>
      <c r="I20" s="4" t="s">
        <v>76</v>
      </c>
      <c r="J20" s="4" t="s">
        <v>195</v>
      </c>
      <c r="K20" s="5">
        <v>1000000000</v>
      </c>
      <c r="L20" s="5">
        <v>0</v>
      </c>
      <c r="M20" s="5">
        <v>30200000</v>
      </c>
      <c r="N20" s="5">
        <v>0</v>
      </c>
      <c r="O20" s="5">
        <v>1030200000</v>
      </c>
      <c r="P20" s="5">
        <v>1082566960</v>
      </c>
      <c r="Q20" s="6">
        <v>45797</v>
      </c>
      <c r="R20" s="6">
        <v>44569</v>
      </c>
      <c r="S20" s="6">
        <v>44556</v>
      </c>
      <c r="T20" s="6">
        <v>44657</v>
      </c>
      <c r="U20" s="5">
        <v>100</v>
      </c>
      <c r="V20" s="5">
        <v>108.01</v>
      </c>
      <c r="W20" s="4"/>
      <c r="X20" s="4"/>
      <c r="Y20" s="6">
        <v>44552</v>
      </c>
      <c r="Z20" s="6">
        <v>44819</v>
      </c>
      <c r="AA20" s="6">
        <v>44833</v>
      </c>
      <c r="AB20" s="6">
        <v>44833</v>
      </c>
      <c r="AC20" s="6">
        <v>44925</v>
      </c>
      <c r="AD20" s="6">
        <v>45549</v>
      </c>
      <c r="AE20" s="6"/>
      <c r="AF20" s="6">
        <v>45549</v>
      </c>
      <c r="AG20" s="6"/>
      <c r="AH20" s="6">
        <v>46157</v>
      </c>
      <c r="AI20" s="4" t="s">
        <v>208</v>
      </c>
      <c r="AJ20" s="4" t="s">
        <v>132</v>
      </c>
      <c r="AK20" s="6">
        <v>46157</v>
      </c>
      <c r="AL20" s="4"/>
      <c r="AM20" s="4"/>
      <c r="AN20" s="4"/>
      <c r="AO20" s="4" t="str">
        <f t="shared" si="0"/>
        <v/>
      </c>
      <c r="AP20" s="4" t="str">
        <f t="shared" si="1"/>
        <v/>
      </c>
      <c r="AQ20" s="4" t="str">
        <f t="shared" si="2"/>
        <v/>
      </c>
      <c r="AR20" s="4" t="str">
        <f t="shared" si="3"/>
        <v/>
      </c>
      <c r="AS20" s="4">
        <v>1</v>
      </c>
      <c r="AT20" s="5"/>
      <c r="AU20" s="4">
        <f t="shared" si="4"/>
        <v>0</v>
      </c>
      <c r="AV20" s="5">
        <v>0</v>
      </c>
      <c r="AW20" s="4">
        <f t="shared" si="5"/>
        <v>90</v>
      </c>
      <c r="AX20" s="4" t="str">
        <f t="shared" si="6"/>
        <v/>
      </c>
      <c r="AY20" s="4"/>
      <c r="AZ20" s="4" t="s">
        <v>87</v>
      </c>
      <c r="BA20" s="4" t="s">
        <v>79</v>
      </c>
      <c r="BB20" s="4" t="s">
        <v>97</v>
      </c>
    </row>
    <row r="21" spans="1:54" ht="70.05" customHeight="1" x14ac:dyDescent="0.3">
      <c r="A21" s="4" t="s">
        <v>209</v>
      </c>
      <c r="B21" s="4" t="s">
        <v>81</v>
      </c>
      <c r="C21" s="4" t="s">
        <v>210</v>
      </c>
      <c r="D21" s="4" t="s">
        <v>211</v>
      </c>
      <c r="E21" s="4" t="s">
        <v>74</v>
      </c>
      <c r="F21" s="4" t="s">
        <v>212</v>
      </c>
      <c r="G21" s="4" t="s">
        <v>93</v>
      </c>
      <c r="H21" s="4" t="s">
        <v>94</v>
      </c>
      <c r="I21" s="4" t="s">
        <v>76</v>
      </c>
      <c r="J21" s="4" t="s">
        <v>213</v>
      </c>
      <c r="K21" s="5">
        <v>4300000000</v>
      </c>
      <c r="L21" s="5">
        <v>0</v>
      </c>
      <c r="M21" s="5">
        <v>48000000</v>
      </c>
      <c r="N21" s="5">
        <v>0</v>
      </c>
      <c r="O21" s="5">
        <v>4348000000</v>
      </c>
      <c r="P21" s="5">
        <v>3523293028</v>
      </c>
      <c r="Q21" s="6">
        <v>45989</v>
      </c>
      <c r="R21" s="6">
        <v>44758</v>
      </c>
      <c r="S21" s="6">
        <v>44687</v>
      </c>
      <c r="T21" s="6">
        <v>44825</v>
      </c>
      <c r="U21" s="5">
        <v>68.13</v>
      </c>
      <c r="V21" s="5">
        <v>82.09</v>
      </c>
      <c r="W21" s="4">
        <v>0</v>
      </c>
      <c r="X21" s="4">
        <v>0</v>
      </c>
      <c r="Y21" s="6">
        <v>44685</v>
      </c>
      <c r="Z21" s="6">
        <v>44867</v>
      </c>
      <c r="AA21" s="6">
        <v>44917</v>
      </c>
      <c r="AB21" s="6">
        <v>44917</v>
      </c>
      <c r="AC21" s="6">
        <v>44998</v>
      </c>
      <c r="AD21" s="6">
        <v>45912</v>
      </c>
      <c r="AE21" s="6"/>
      <c r="AF21" s="6"/>
      <c r="AG21" s="6"/>
      <c r="AH21" s="6">
        <v>46157</v>
      </c>
      <c r="AI21" s="4" t="s">
        <v>214</v>
      </c>
      <c r="AJ21" s="4" t="s">
        <v>215</v>
      </c>
      <c r="AK21" s="6">
        <v>46152</v>
      </c>
      <c r="AL21" s="4"/>
      <c r="AM21" s="4"/>
      <c r="AN21" s="4"/>
      <c r="AO21" s="4">
        <f t="shared" si="0"/>
        <v>0</v>
      </c>
      <c r="AP21" s="4">
        <f t="shared" si="1"/>
        <v>0</v>
      </c>
      <c r="AQ21" s="4">
        <f t="shared" si="2"/>
        <v>100</v>
      </c>
      <c r="AR21" s="4">
        <f t="shared" si="3"/>
        <v>100</v>
      </c>
      <c r="AS21" s="4">
        <v>1</v>
      </c>
      <c r="AT21" s="5"/>
      <c r="AU21" s="4">
        <f t="shared" si="4"/>
        <v>100</v>
      </c>
      <c r="AV21" s="5">
        <v>10</v>
      </c>
      <c r="AW21" s="4">
        <f t="shared" si="5"/>
        <v>90</v>
      </c>
      <c r="AX21" s="4">
        <f t="shared" si="6"/>
        <v>0</v>
      </c>
      <c r="AY21" s="4"/>
      <c r="AZ21" s="4" t="s">
        <v>216</v>
      </c>
      <c r="BA21" s="4" t="s">
        <v>217</v>
      </c>
      <c r="BB21" s="4" t="s">
        <v>97</v>
      </c>
    </row>
    <row r="22" spans="1:54" ht="70.05" customHeight="1" x14ac:dyDescent="0.3">
      <c r="A22" s="4" t="s">
        <v>218</v>
      </c>
      <c r="B22" s="4" t="s">
        <v>99</v>
      </c>
      <c r="C22" s="4" t="s">
        <v>219</v>
      </c>
      <c r="D22" s="4" t="s">
        <v>220</v>
      </c>
      <c r="E22" s="4" t="s">
        <v>221</v>
      </c>
      <c r="F22" s="4" t="s">
        <v>222</v>
      </c>
      <c r="G22" s="4" t="s">
        <v>93</v>
      </c>
      <c r="H22" s="4" t="s">
        <v>94</v>
      </c>
      <c r="I22" s="4" t="s">
        <v>104</v>
      </c>
      <c r="J22" s="4" t="s">
        <v>186</v>
      </c>
      <c r="K22" s="5">
        <v>24245749081.080002</v>
      </c>
      <c r="L22" s="5">
        <v>0</v>
      </c>
      <c r="M22" s="5">
        <v>0</v>
      </c>
      <c r="N22" s="5">
        <v>0</v>
      </c>
      <c r="O22" s="5">
        <v>24245749081.080002</v>
      </c>
      <c r="P22" s="5">
        <v>17987770186.490002</v>
      </c>
      <c r="Q22" s="6">
        <v>46057</v>
      </c>
      <c r="R22" s="6">
        <v>45084</v>
      </c>
      <c r="S22" s="6">
        <v>45066</v>
      </c>
      <c r="T22" s="6">
        <v>45105</v>
      </c>
      <c r="U22" s="5">
        <v>70.2</v>
      </c>
      <c r="V22" s="5">
        <v>74.19</v>
      </c>
      <c r="W22" s="4">
        <v>1</v>
      </c>
      <c r="X22" s="4">
        <v>0.93</v>
      </c>
      <c r="Y22" s="6">
        <v>45064</v>
      </c>
      <c r="Z22" s="6">
        <v>45546</v>
      </c>
      <c r="AA22" s="6">
        <v>45709</v>
      </c>
      <c r="AB22" s="6">
        <v>45709</v>
      </c>
      <c r="AC22" s="6">
        <v>45714</v>
      </c>
      <c r="AD22" s="6">
        <v>46214</v>
      </c>
      <c r="AE22" s="6"/>
      <c r="AF22" s="6"/>
      <c r="AG22" s="6"/>
      <c r="AH22" s="6">
        <v>46157</v>
      </c>
      <c r="AI22" s="4" t="s">
        <v>223</v>
      </c>
      <c r="AJ22" s="4" t="s">
        <v>224</v>
      </c>
      <c r="AK22" s="6">
        <v>46152</v>
      </c>
      <c r="AL22" s="4"/>
      <c r="AM22" s="4"/>
      <c r="AN22" s="4"/>
      <c r="AO22" s="4">
        <f t="shared" si="0"/>
        <v>100</v>
      </c>
      <c r="AP22" s="4">
        <f t="shared" si="1"/>
        <v>100</v>
      </c>
      <c r="AQ22" s="4">
        <f t="shared" si="2"/>
        <v>100</v>
      </c>
      <c r="AR22" s="4">
        <f t="shared" si="3"/>
        <v>100</v>
      </c>
      <c r="AS22" s="4">
        <v>1</v>
      </c>
      <c r="AT22" s="5"/>
      <c r="AU22" s="4">
        <f t="shared" si="4"/>
        <v>100</v>
      </c>
      <c r="AV22" s="5">
        <v>90</v>
      </c>
      <c r="AW22" s="4">
        <f t="shared" si="5"/>
        <v>90</v>
      </c>
      <c r="AX22" s="4">
        <f t="shared" si="6"/>
        <v>90</v>
      </c>
      <c r="AY22" s="4"/>
      <c r="AZ22" s="4" t="s">
        <v>225</v>
      </c>
      <c r="BA22" s="4" t="s">
        <v>68</v>
      </c>
      <c r="BB22" s="4" t="s">
        <v>69</v>
      </c>
    </row>
    <row r="23" spans="1:54" ht="70.05" customHeight="1" x14ac:dyDescent="0.3">
      <c r="A23" s="4" t="s">
        <v>226</v>
      </c>
      <c r="B23" s="4" t="s">
        <v>99</v>
      </c>
      <c r="C23" s="4" t="s">
        <v>227</v>
      </c>
      <c r="D23" s="4" t="s">
        <v>228</v>
      </c>
      <c r="E23" s="4" t="s">
        <v>102</v>
      </c>
      <c r="F23" s="4" t="s">
        <v>229</v>
      </c>
      <c r="G23" s="4" t="s">
        <v>230</v>
      </c>
      <c r="H23" s="4" t="s">
        <v>115</v>
      </c>
      <c r="I23" s="4" t="s">
        <v>104</v>
      </c>
      <c r="J23" s="4" t="s">
        <v>105</v>
      </c>
      <c r="K23" s="5">
        <v>1498986578.77</v>
      </c>
      <c r="L23" s="5">
        <v>0</v>
      </c>
      <c r="M23" s="5">
        <v>0</v>
      </c>
      <c r="N23" s="5">
        <v>0</v>
      </c>
      <c r="O23" s="5">
        <v>1498986578.77</v>
      </c>
      <c r="P23" s="5">
        <v>1471824308.05</v>
      </c>
      <c r="Q23" s="6">
        <v>45750</v>
      </c>
      <c r="R23" s="6">
        <v>44510</v>
      </c>
      <c r="S23" s="6">
        <v>44509</v>
      </c>
      <c r="T23" s="6">
        <v>44510</v>
      </c>
      <c r="U23" s="5">
        <v>98.19</v>
      </c>
      <c r="V23" s="5">
        <v>98.19</v>
      </c>
      <c r="W23" s="4"/>
      <c r="X23" s="4"/>
      <c r="Y23" s="6">
        <v>44508</v>
      </c>
      <c r="Z23" s="6">
        <v>44581</v>
      </c>
      <c r="AA23" s="6">
        <v>44817</v>
      </c>
      <c r="AB23" s="6">
        <v>44786</v>
      </c>
      <c r="AC23" s="6">
        <v>44869</v>
      </c>
      <c r="AD23" s="6">
        <v>45407</v>
      </c>
      <c r="AE23" s="6"/>
      <c r="AF23" s="6">
        <v>45407</v>
      </c>
      <c r="AG23" s="6"/>
      <c r="AH23" s="6">
        <v>46157</v>
      </c>
      <c r="AI23" s="4"/>
      <c r="AJ23" s="4"/>
      <c r="AK23" s="6">
        <v>46152</v>
      </c>
      <c r="AL23" s="4"/>
      <c r="AM23" s="4"/>
      <c r="AN23" s="4"/>
      <c r="AO23" s="4" t="str">
        <f t="shared" si="0"/>
        <v/>
      </c>
      <c r="AP23" s="4" t="str">
        <f t="shared" si="1"/>
        <v/>
      </c>
      <c r="AQ23" s="4">
        <f t="shared" si="2"/>
        <v>100</v>
      </c>
      <c r="AR23" s="4" t="str">
        <f t="shared" si="3"/>
        <v/>
      </c>
      <c r="AS23" s="4">
        <v>1</v>
      </c>
      <c r="AT23" s="5"/>
      <c r="AU23" s="4">
        <f t="shared" si="4"/>
        <v>100</v>
      </c>
      <c r="AV23" s="5"/>
      <c r="AW23" s="4">
        <f t="shared" si="5"/>
        <v>90</v>
      </c>
      <c r="AX23" s="4" t="str">
        <f t="shared" si="6"/>
        <v/>
      </c>
      <c r="AY23" s="4"/>
      <c r="AZ23" s="4" t="s">
        <v>231</v>
      </c>
      <c r="BA23" s="4" t="s">
        <v>109</v>
      </c>
      <c r="BB23" s="4" t="s">
        <v>69</v>
      </c>
    </row>
    <row r="24" spans="1:54" ht="70.05" customHeight="1" x14ac:dyDescent="0.3">
      <c r="A24" s="4" t="s">
        <v>232</v>
      </c>
      <c r="B24" s="4" t="s">
        <v>56</v>
      </c>
      <c r="C24" s="4" t="s">
        <v>233</v>
      </c>
      <c r="D24" s="4" t="s">
        <v>234</v>
      </c>
      <c r="E24" s="4" t="s">
        <v>235</v>
      </c>
      <c r="F24" s="4" t="s">
        <v>236</v>
      </c>
      <c r="G24" s="4" t="s">
        <v>61</v>
      </c>
      <c r="H24" s="4" t="s">
        <v>115</v>
      </c>
      <c r="I24" s="4" t="s">
        <v>237</v>
      </c>
      <c r="J24" s="4" t="s">
        <v>238</v>
      </c>
      <c r="K24" s="5">
        <v>621744000</v>
      </c>
      <c r="L24" s="5">
        <v>550511999.39999998</v>
      </c>
      <c r="M24" s="5">
        <v>0</v>
      </c>
      <c r="N24" s="5">
        <v>0</v>
      </c>
      <c r="O24" s="5">
        <v>1172255999.4000001</v>
      </c>
      <c r="P24" s="5">
        <v>621744000</v>
      </c>
      <c r="Q24" s="6">
        <v>44495</v>
      </c>
      <c r="R24" s="6">
        <v>44391</v>
      </c>
      <c r="S24" s="6">
        <v>44390</v>
      </c>
      <c r="T24" s="6">
        <v>44383</v>
      </c>
      <c r="U24" s="5">
        <v>100</v>
      </c>
      <c r="V24" s="5">
        <v>91.71</v>
      </c>
      <c r="W24" s="4"/>
      <c r="X24" s="4"/>
      <c r="Y24" s="6">
        <v>44389</v>
      </c>
      <c r="Z24" s="6">
        <v>44399</v>
      </c>
      <c r="AA24" s="6">
        <v>44475</v>
      </c>
      <c r="AB24" s="6">
        <v>44475</v>
      </c>
      <c r="AC24" s="6">
        <v>44495</v>
      </c>
      <c r="AD24" s="6">
        <v>44651</v>
      </c>
      <c r="AE24" s="6"/>
      <c r="AF24" s="6">
        <v>44651</v>
      </c>
      <c r="AG24" s="6"/>
      <c r="AH24" s="6">
        <v>46157</v>
      </c>
      <c r="AI24" s="4"/>
      <c r="AJ24" s="4"/>
      <c r="AK24" s="6">
        <v>46152</v>
      </c>
      <c r="AL24" s="4"/>
      <c r="AM24" s="4"/>
      <c r="AN24" s="4"/>
      <c r="AO24" s="4" t="str">
        <f t="shared" si="0"/>
        <v/>
      </c>
      <c r="AP24" s="4" t="str">
        <f t="shared" si="1"/>
        <v/>
      </c>
      <c r="AQ24" s="4">
        <f t="shared" si="2"/>
        <v>100</v>
      </c>
      <c r="AR24" s="4" t="str">
        <f t="shared" si="3"/>
        <v/>
      </c>
      <c r="AS24" s="4">
        <v>0</v>
      </c>
      <c r="AT24" s="5"/>
      <c r="AU24" s="4">
        <f t="shared" si="4"/>
        <v>100</v>
      </c>
      <c r="AV24" s="5"/>
      <c r="AW24" s="4">
        <f t="shared" si="5"/>
        <v>100</v>
      </c>
      <c r="AX24" s="4" t="str">
        <f t="shared" si="6"/>
        <v/>
      </c>
      <c r="AY24" s="4"/>
      <c r="AZ24" s="4" t="s">
        <v>239</v>
      </c>
      <c r="BA24" s="4" t="s">
        <v>79</v>
      </c>
      <c r="BB24" s="4" t="s">
        <v>240</v>
      </c>
    </row>
    <row r="25" spans="1:54" ht="70.05" customHeight="1" x14ac:dyDescent="0.3">
      <c r="A25" s="4" t="s">
        <v>241</v>
      </c>
      <c r="B25" s="4" t="s">
        <v>81</v>
      </c>
      <c r="C25" s="4" t="s">
        <v>242</v>
      </c>
      <c r="D25" s="4" t="s">
        <v>243</v>
      </c>
      <c r="E25" s="4" t="s">
        <v>244</v>
      </c>
      <c r="F25" s="4" t="s">
        <v>245</v>
      </c>
      <c r="G25" s="4" t="s">
        <v>230</v>
      </c>
      <c r="H25" s="4" t="s">
        <v>115</v>
      </c>
      <c r="I25" s="4" t="s">
        <v>179</v>
      </c>
      <c r="J25" s="4" t="s">
        <v>105</v>
      </c>
      <c r="K25" s="5">
        <v>899027939.82000005</v>
      </c>
      <c r="L25" s="5">
        <v>0</v>
      </c>
      <c r="M25" s="5">
        <v>0</v>
      </c>
      <c r="N25" s="5">
        <v>0</v>
      </c>
      <c r="O25" s="5">
        <v>899027939.82000005</v>
      </c>
      <c r="P25" s="5">
        <v>895167939.80999994</v>
      </c>
      <c r="Q25" s="6">
        <v>45188</v>
      </c>
      <c r="R25" s="6">
        <v>44456</v>
      </c>
      <c r="S25" s="6">
        <v>44457</v>
      </c>
      <c r="T25" s="6">
        <v>44481</v>
      </c>
      <c r="U25" s="5">
        <v>99.57</v>
      </c>
      <c r="V25" s="5">
        <v>99.57</v>
      </c>
      <c r="W25" s="4"/>
      <c r="X25" s="4"/>
      <c r="Y25" s="6">
        <v>44456</v>
      </c>
      <c r="Z25" s="6">
        <v>44617</v>
      </c>
      <c r="AA25" s="6">
        <v>44687</v>
      </c>
      <c r="AB25" s="6">
        <v>44687</v>
      </c>
      <c r="AC25" s="6">
        <v>44698</v>
      </c>
      <c r="AD25" s="6">
        <v>45046</v>
      </c>
      <c r="AE25" s="6"/>
      <c r="AF25" s="6">
        <v>45046</v>
      </c>
      <c r="AG25" s="6"/>
      <c r="AH25" s="6">
        <v>46157</v>
      </c>
      <c r="AI25" s="4"/>
      <c r="AJ25" s="4"/>
      <c r="AK25" s="6"/>
      <c r="AL25" s="4"/>
      <c r="AM25" s="4"/>
      <c r="AN25" s="4"/>
      <c r="AO25" s="4" t="str">
        <f t="shared" si="0"/>
        <v/>
      </c>
      <c r="AP25" s="4" t="str">
        <f t="shared" si="1"/>
        <v/>
      </c>
      <c r="AQ25" s="4">
        <f t="shared" si="2"/>
        <v>100</v>
      </c>
      <c r="AR25" s="4" t="str">
        <f t="shared" si="3"/>
        <v/>
      </c>
      <c r="AS25" s="4">
        <v>0</v>
      </c>
      <c r="AT25" s="5"/>
      <c r="AU25" s="4" t="str">
        <f t="shared" si="4"/>
        <v/>
      </c>
      <c r="AV25" s="5"/>
      <c r="AW25" s="4">
        <f t="shared" si="5"/>
        <v>100</v>
      </c>
      <c r="AX25" s="4" t="str">
        <f t="shared" si="6"/>
        <v/>
      </c>
      <c r="AY25" s="4"/>
      <c r="AZ25" s="4" t="s">
        <v>231</v>
      </c>
      <c r="BA25" s="4" t="s">
        <v>79</v>
      </c>
      <c r="BB25" s="4" t="s">
        <v>69</v>
      </c>
    </row>
    <row r="26" spans="1:54" ht="70.05" customHeight="1" x14ac:dyDescent="0.3">
      <c r="A26" s="4" t="s">
        <v>246</v>
      </c>
      <c r="B26" s="4" t="s">
        <v>99</v>
      </c>
      <c r="C26" s="4" t="s">
        <v>247</v>
      </c>
      <c r="D26" s="4" t="s">
        <v>248</v>
      </c>
      <c r="E26" s="4" t="s">
        <v>244</v>
      </c>
      <c r="F26" s="4" t="s">
        <v>249</v>
      </c>
      <c r="G26" s="4" t="s">
        <v>93</v>
      </c>
      <c r="H26" s="4" t="s">
        <v>250</v>
      </c>
      <c r="I26" s="4" t="s">
        <v>104</v>
      </c>
      <c r="J26" s="4" t="s">
        <v>105</v>
      </c>
      <c r="K26" s="5">
        <v>8561481683</v>
      </c>
      <c r="L26" s="5">
        <v>7999399317</v>
      </c>
      <c r="M26" s="5">
        <v>0</v>
      </c>
      <c r="N26" s="5">
        <v>0</v>
      </c>
      <c r="O26" s="5">
        <v>16560881000</v>
      </c>
      <c r="P26" s="5">
        <v>7774977527.5600004</v>
      </c>
      <c r="Q26" s="6">
        <v>45847</v>
      </c>
      <c r="R26" s="6">
        <v>45104</v>
      </c>
      <c r="S26" s="6">
        <v>45100</v>
      </c>
      <c r="T26" s="6">
        <v>45100</v>
      </c>
      <c r="U26" s="5">
        <v>74.239999999999995</v>
      </c>
      <c r="V26" s="5">
        <v>46.95</v>
      </c>
      <c r="W26" s="4">
        <v>0</v>
      </c>
      <c r="X26" s="4">
        <v>0</v>
      </c>
      <c r="Y26" s="6">
        <v>45100</v>
      </c>
      <c r="Z26" s="6">
        <v>45252</v>
      </c>
      <c r="AA26" s="6">
        <v>45433</v>
      </c>
      <c r="AB26" s="6">
        <v>45433</v>
      </c>
      <c r="AC26" s="6">
        <v>45509</v>
      </c>
      <c r="AD26" s="6">
        <v>46204</v>
      </c>
      <c r="AE26" s="6"/>
      <c r="AF26" s="6"/>
      <c r="AG26" s="6"/>
      <c r="AH26" s="6">
        <v>46157</v>
      </c>
      <c r="AI26" s="4" t="s">
        <v>251</v>
      </c>
      <c r="AJ26" s="4" t="s">
        <v>252</v>
      </c>
      <c r="AK26" s="6">
        <v>46152</v>
      </c>
      <c r="AL26" s="4"/>
      <c r="AM26" s="4"/>
      <c r="AN26" s="4"/>
      <c r="AO26" s="4">
        <f t="shared" si="0"/>
        <v>0</v>
      </c>
      <c r="AP26" s="4">
        <f t="shared" si="1"/>
        <v>0</v>
      </c>
      <c r="AQ26" s="4">
        <f t="shared" si="2"/>
        <v>100</v>
      </c>
      <c r="AR26" s="4">
        <f t="shared" si="3"/>
        <v>100</v>
      </c>
      <c r="AS26" s="4">
        <v>2</v>
      </c>
      <c r="AT26" s="5"/>
      <c r="AU26" s="4">
        <f t="shared" si="4"/>
        <v>100</v>
      </c>
      <c r="AV26" s="5">
        <v>100</v>
      </c>
      <c r="AW26" s="4">
        <f t="shared" si="5"/>
        <v>75</v>
      </c>
      <c r="AX26" s="4">
        <f t="shared" si="6"/>
        <v>30</v>
      </c>
      <c r="AY26" s="4"/>
      <c r="AZ26" s="4" t="s">
        <v>253</v>
      </c>
      <c r="BA26" s="4" t="s">
        <v>133</v>
      </c>
      <c r="BB26" s="4" t="s">
        <v>240</v>
      </c>
    </row>
    <row r="27" spans="1:54" ht="70.05" customHeight="1" x14ac:dyDescent="0.3">
      <c r="A27" s="4" t="s">
        <v>254</v>
      </c>
      <c r="B27" s="4" t="s">
        <v>81</v>
      </c>
      <c r="C27" s="4" t="s">
        <v>255</v>
      </c>
      <c r="D27" s="4" t="s">
        <v>256</v>
      </c>
      <c r="E27" s="4" t="s">
        <v>257</v>
      </c>
      <c r="F27" s="4" t="s">
        <v>258</v>
      </c>
      <c r="G27" s="4" t="s">
        <v>61</v>
      </c>
      <c r="H27" s="4" t="s">
        <v>62</v>
      </c>
      <c r="I27" s="4" t="s">
        <v>155</v>
      </c>
      <c r="J27" s="4" t="s">
        <v>186</v>
      </c>
      <c r="K27" s="5">
        <v>13470040052.48</v>
      </c>
      <c r="L27" s="5">
        <v>0</v>
      </c>
      <c r="M27" s="5">
        <v>0</v>
      </c>
      <c r="N27" s="5">
        <v>0</v>
      </c>
      <c r="O27" s="5">
        <v>13470040052.48</v>
      </c>
      <c r="P27" s="5">
        <v>13464961639.190001</v>
      </c>
      <c r="Q27" s="6">
        <v>45573</v>
      </c>
      <c r="R27" s="6">
        <v>44856</v>
      </c>
      <c r="S27" s="6">
        <v>44845</v>
      </c>
      <c r="T27" s="6">
        <v>44854</v>
      </c>
      <c r="U27" s="5">
        <v>100</v>
      </c>
      <c r="V27" s="5">
        <v>99.96</v>
      </c>
      <c r="W27" s="4"/>
      <c r="X27" s="4"/>
      <c r="Y27" s="6">
        <v>44844</v>
      </c>
      <c r="Z27" s="6">
        <v>44980</v>
      </c>
      <c r="AA27" s="6">
        <v>45028</v>
      </c>
      <c r="AB27" s="6">
        <v>44978</v>
      </c>
      <c r="AC27" s="6">
        <v>45028</v>
      </c>
      <c r="AD27" s="6">
        <v>45412</v>
      </c>
      <c r="AE27" s="6"/>
      <c r="AF27" s="6">
        <v>45412</v>
      </c>
      <c r="AG27" s="6"/>
      <c r="AH27" s="6">
        <v>46157</v>
      </c>
      <c r="AI27" s="4" t="s">
        <v>259</v>
      </c>
      <c r="AJ27" s="4" t="s">
        <v>86</v>
      </c>
      <c r="AK27" s="6">
        <v>46157</v>
      </c>
      <c r="AL27" s="4"/>
      <c r="AM27" s="4"/>
      <c r="AN27" s="4"/>
      <c r="AO27" s="4" t="str">
        <f t="shared" si="0"/>
        <v/>
      </c>
      <c r="AP27" s="4" t="str">
        <f t="shared" si="1"/>
        <v/>
      </c>
      <c r="AQ27" s="4">
        <f t="shared" si="2"/>
        <v>100</v>
      </c>
      <c r="AR27" s="4" t="str">
        <f t="shared" si="3"/>
        <v/>
      </c>
      <c r="AS27" s="4">
        <v>1</v>
      </c>
      <c r="AT27" s="5"/>
      <c r="AU27" s="4">
        <f t="shared" si="4"/>
        <v>0</v>
      </c>
      <c r="AV27" s="5">
        <v>0</v>
      </c>
      <c r="AW27" s="4">
        <f t="shared" si="5"/>
        <v>90</v>
      </c>
      <c r="AX27" s="4" t="str">
        <f t="shared" si="6"/>
        <v/>
      </c>
      <c r="AY27" s="4"/>
      <c r="AZ27" s="4" t="s">
        <v>87</v>
      </c>
      <c r="BA27" s="4" t="s">
        <v>68</v>
      </c>
      <c r="BB27" s="4" t="s">
        <v>97</v>
      </c>
    </row>
    <row r="28" spans="1:54" ht="70.05" customHeight="1" x14ac:dyDescent="0.3">
      <c r="A28" s="4" t="s">
        <v>260</v>
      </c>
      <c r="B28" s="4" t="s">
        <v>99</v>
      </c>
      <c r="C28" s="4" t="s">
        <v>261</v>
      </c>
      <c r="D28" s="4" t="s">
        <v>262</v>
      </c>
      <c r="E28" s="4" t="s">
        <v>102</v>
      </c>
      <c r="F28" s="4" t="s">
        <v>263</v>
      </c>
      <c r="G28" s="4" t="s">
        <v>230</v>
      </c>
      <c r="H28" s="4" t="s">
        <v>115</v>
      </c>
      <c r="I28" s="4" t="s">
        <v>104</v>
      </c>
      <c r="J28" s="4" t="s">
        <v>105</v>
      </c>
      <c r="K28" s="5">
        <v>10889084257</v>
      </c>
      <c r="L28" s="5">
        <v>0</v>
      </c>
      <c r="M28" s="5">
        <v>0</v>
      </c>
      <c r="N28" s="5">
        <v>0</v>
      </c>
      <c r="O28" s="5">
        <v>10889084257</v>
      </c>
      <c r="P28" s="5">
        <v>10889084255.700001</v>
      </c>
      <c r="Q28" s="6">
        <v>45804</v>
      </c>
      <c r="R28" s="6">
        <v>44926</v>
      </c>
      <c r="S28" s="6">
        <v>44925</v>
      </c>
      <c r="T28" s="6">
        <v>44952</v>
      </c>
      <c r="U28" s="5">
        <v>100</v>
      </c>
      <c r="V28" s="5">
        <v>100</v>
      </c>
      <c r="W28" s="4"/>
      <c r="X28" s="4"/>
      <c r="Y28" s="6">
        <v>44924</v>
      </c>
      <c r="Z28" s="6">
        <v>45020</v>
      </c>
      <c r="AA28" s="6">
        <v>45107</v>
      </c>
      <c r="AB28" s="6">
        <v>45107</v>
      </c>
      <c r="AC28" s="6">
        <v>45139</v>
      </c>
      <c r="AD28" s="6">
        <v>45746</v>
      </c>
      <c r="AE28" s="6"/>
      <c r="AF28" s="6">
        <v>45746</v>
      </c>
      <c r="AG28" s="6"/>
      <c r="AH28" s="6">
        <v>46157</v>
      </c>
      <c r="AI28" s="4" t="s">
        <v>264</v>
      </c>
      <c r="AJ28" s="4" t="s">
        <v>265</v>
      </c>
      <c r="AK28" s="6">
        <v>46152</v>
      </c>
      <c r="AL28" s="4"/>
      <c r="AM28" s="4"/>
      <c r="AN28" s="4"/>
      <c r="AO28" s="4" t="str">
        <f t="shared" si="0"/>
        <v/>
      </c>
      <c r="AP28" s="4" t="str">
        <f t="shared" si="1"/>
        <v/>
      </c>
      <c r="AQ28" s="4">
        <f t="shared" si="2"/>
        <v>100</v>
      </c>
      <c r="AR28" s="4" t="str">
        <f t="shared" si="3"/>
        <v/>
      </c>
      <c r="AS28" s="4">
        <v>1</v>
      </c>
      <c r="AT28" s="5"/>
      <c r="AU28" s="4">
        <f t="shared" si="4"/>
        <v>100</v>
      </c>
      <c r="AV28" s="5"/>
      <c r="AW28" s="4">
        <f t="shared" si="5"/>
        <v>90</v>
      </c>
      <c r="AX28" s="4" t="str">
        <f t="shared" si="6"/>
        <v/>
      </c>
      <c r="AY28" s="4"/>
      <c r="AZ28" s="4" t="s">
        <v>231</v>
      </c>
      <c r="BA28" s="4" t="s">
        <v>109</v>
      </c>
      <c r="BB28" s="4" t="s">
        <v>266</v>
      </c>
    </row>
    <row r="29" spans="1:54" ht="70.05" customHeight="1" x14ac:dyDescent="0.3">
      <c r="A29" s="4" t="s">
        <v>267</v>
      </c>
      <c r="B29" s="4" t="s">
        <v>99</v>
      </c>
      <c r="C29" s="4" t="s">
        <v>268</v>
      </c>
      <c r="D29" s="4" t="s">
        <v>269</v>
      </c>
      <c r="E29" s="4" t="s">
        <v>244</v>
      </c>
      <c r="F29" s="4" t="s">
        <v>270</v>
      </c>
      <c r="G29" s="4" t="s">
        <v>61</v>
      </c>
      <c r="H29" s="4" t="s">
        <v>62</v>
      </c>
      <c r="I29" s="4" t="s">
        <v>76</v>
      </c>
      <c r="J29" s="4" t="s">
        <v>105</v>
      </c>
      <c r="K29" s="5">
        <v>9528331044</v>
      </c>
      <c r="L29" s="5">
        <v>0</v>
      </c>
      <c r="M29" s="5">
        <v>0</v>
      </c>
      <c r="N29" s="5">
        <v>0</v>
      </c>
      <c r="O29" s="5">
        <v>9528331044</v>
      </c>
      <c r="P29" s="5">
        <v>9480535511</v>
      </c>
      <c r="Q29" s="6">
        <v>46155</v>
      </c>
      <c r="R29" s="6">
        <v>44800</v>
      </c>
      <c r="S29" s="6">
        <v>44798</v>
      </c>
      <c r="T29" s="6">
        <v>44826</v>
      </c>
      <c r="U29" s="5">
        <v>99.5</v>
      </c>
      <c r="V29" s="5">
        <v>99.5</v>
      </c>
      <c r="W29" s="4"/>
      <c r="X29" s="4"/>
      <c r="Y29" s="6">
        <v>44797</v>
      </c>
      <c r="Z29" s="6">
        <v>45012</v>
      </c>
      <c r="AA29" s="6">
        <v>45054</v>
      </c>
      <c r="AB29" s="6">
        <v>44917</v>
      </c>
      <c r="AC29" s="6">
        <v>45111</v>
      </c>
      <c r="AD29" s="6">
        <v>45858</v>
      </c>
      <c r="AE29" s="6"/>
      <c r="AF29" s="6">
        <v>45858</v>
      </c>
      <c r="AG29" s="6"/>
      <c r="AH29" s="6">
        <v>46157</v>
      </c>
      <c r="AI29" s="4" t="s">
        <v>271</v>
      </c>
      <c r="AJ29" s="4" t="s">
        <v>272</v>
      </c>
      <c r="AK29" s="6">
        <v>46152</v>
      </c>
      <c r="AL29" s="4"/>
      <c r="AM29" s="4"/>
      <c r="AN29" s="4"/>
      <c r="AO29" s="4" t="str">
        <f t="shared" si="0"/>
        <v/>
      </c>
      <c r="AP29" s="4" t="str">
        <f t="shared" si="1"/>
        <v/>
      </c>
      <c r="AQ29" s="4">
        <f t="shared" si="2"/>
        <v>100</v>
      </c>
      <c r="AR29" s="4" t="str">
        <f t="shared" si="3"/>
        <v/>
      </c>
      <c r="AS29" s="4">
        <v>2</v>
      </c>
      <c r="AT29" s="5"/>
      <c r="AU29" s="4">
        <f t="shared" si="4"/>
        <v>100</v>
      </c>
      <c r="AV29" s="5">
        <v>0</v>
      </c>
      <c r="AW29" s="4">
        <f t="shared" si="5"/>
        <v>75</v>
      </c>
      <c r="AX29" s="4" t="str">
        <f t="shared" si="6"/>
        <v/>
      </c>
      <c r="AY29" s="4"/>
      <c r="AZ29" s="4" t="s">
        <v>273</v>
      </c>
      <c r="BA29" s="4" t="s">
        <v>133</v>
      </c>
      <c r="BB29" s="4" t="s">
        <v>240</v>
      </c>
    </row>
    <row r="30" spans="1:54" ht="70.05" customHeight="1" x14ac:dyDescent="0.3">
      <c r="A30" s="4" t="s">
        <v>274</v>
      </c>
      <c r="B30" s="4" t="s">
        <v>99</v>
      </c>
      <c r="C30" s="4" t="s">
        <v>275</v>
      </c>
      <c r="D30" s="4" t="s">
        <v>276</v>
      </c>
      <c r="E30" s="4" t="s">
        <v>244</v>
      </c>
      <c r="F30" s="4" t="s">
        <v>277</v>
      </c>
      <c r="G30" s="4" t="s">
        <v>230</v>
      </c>
      <c r="H30" s="4" t="s">
        <v>115</v>
      </c>
      <c r="I30" s="4" t="s">
        <v>104</v>
      </c>
      <c r="J30" s="4" t="s">
        <v>105</v>
      </c>
      <c r="K30" s="5">
        <v>14530936843.950001</v>
      </c>
      <c r="L30" s="5">
        <v>0</v>
      </c>
      <c r="M30" s="5">
        <v>0</v>
      </c>
      <c r="N30" s="5">
        <v>0</v>
      </c>
      <c r="O30" s="5">
        <v>14530936843.950001</v>
      </c>
      <c r="P30" s="5">
        <v>14530936843.950001</v>
      </c>
      <c r="Q30" s="6">
        <v>45727</v>
      </c>
      <c r="R30" s="6">
        <v>44926</v>
      </c>
      <c r="S30" s="6">
        <v>44925</v>
      </c>
      <c r="T30" s="6">
        <v>44952</v>
      </c>
      <c r="U30" s="5">
        <v>100</v>
      </c>
      <c r="V30" s="5">
        <v>100</v>
      </c>
      <c r="W30" s="4"/>
      <c r="X30" s="4"/>
      <c r="Y30" s="6">
        <v>44924</v>
      </c>
      <c r="Z30" s="6">
        <v>45009</v>
      </c>
      <c r="AA30" s="6">
        <v>45077</v>
      </c>
      <c r="AB30" s="6">
        <v>45071</v>
      </c>
      <c r="AC30" s="6">
        <v>45112</v>
      </c>
      <c r="AD30" s="6">
        <v>45569</v>
      </c>
      <c r="AE30" s="6"/>
      <c r="AF30" s="6">
        <v>45569</v>
      </c>
      <c r="AG30" s="6"/>
      <c r="AH30" s="6">
        <v>46157</v>
      </c>
      <c r="AI30" s="4" t="s">
        <v>265</v>
      </c>
      <c r="AJ30" s="4"/>
      <c r="AK30" s="6"/>
      <c r="AL30" s="4"/>
      <c r="AM30" s="4"/>
      <c r="AN30" s="4"/>
      <c r="AO30" s="4" t="str">
        <f t="shared" si="0"/>
        <v/>
      </c>
      <c r="AP30" s="4" t="str">
        <f t="shared" si="1"/>
        <v/>
      </c>
      <c r="AQ30" s="4">
        <f t="shared" si="2"/>
        <v>100</v>
      </c>
      <c r="AR30" s="4" t="str">
        <f t="shared" si="3"/>
        <v/>
      </c>
      <c r="AS30" s="4">
        <v>1</v>
      </c>
      <c r="AT30" s="5"/>
      <c r="AU30" s="4" t="str">
        <f t="shared" si="4"/>
        <v/>
      </c>
      <c r="AV30" s="5"/>
      <c r="AW30" s="4">
        <f t="shared" si="5"/>
        <v>90</v>
      </c>
      <c r="AX30" s="4" t="str">
        <f t="shared" si="6"/>
        <v/>
      </c>
      <c r="AY30" s="4"/>
      <c r="AZ30" s="4" t="s">
        <v>231</v>
      </c>
      <c r="BA30" s="4" t="s">
        <v>133</v>
      </c>
      <c r="BB30" s="4" t="s">
        <v>278</v>
      </c>
    </row>
    <row r="31" spans="1:54" ht="70.05" customHeight="1" x14ac:dyDescent="0.3">
      <c r="A31" s="4" t="s">
        <v>279</v>
      </c>
      <c r="B31" s="4" t="s">
        <v>99</v>
      </c>
      <c r="C31" s="4" t="s">
        <v>280</v>
      </c>
      <c r="D31" s="4" t="s">
        <v>281</v>
      </c>
      <c r="E31" s="4" t="s">
        <v>282</v>
      </c>
      <c r="F31" s="4" t="s">
        <v>283</v>
      </c>
      <c r="G31" s="4" t="s">
        <v>230</v>
      </c>
      <c r="H31" s="4" t="s">
        <v>115</v>
      </c>
      <c r="I31" s="4" t="s">
        <v>104</v>
      </c>
      <c r="J31" s="4" t="s">
        <v>238</v>
      </c>
      <c r="K31" s="5">
        <v>1226001186</v>
      </c>
      <c r="L31" s="5">
        <v>0</v>
      </c>
      <c r="M31" s="5">
        <v>0</v>
      </c>
      <c r="N31" s="5">
        <v>0</v>
      </c>
      <c r="O31" s="5">
        <v>1226001186</v>
      </c>
      <c r="P31" s="5">
        <v>1226001180.24</v>
      </c>
      <c r="Q31" s="6">
        <v>46135</v>
      </c>
      <c r="R31" s="6">
        <v>45104</v>
      </c>
      <c r="S31" s="6">
        <v>45094</v>
      </c>
      <c r="T31" s="6">
        <v>45107</v>
      </c>
      <c r="U31" s="5">
        <v>100</v>
      </c>
      <c r="V31" s="5">
        <v>100</v>
      </c>
      <c r="W31" s="4"/>
      <c r="X31" s="4"/>
      <c r="Y31" s="6">
        <v>45093</v>
      </c>
      <c r="Z31" s="6">
        <v>45250</v>
      </c>
      <c r="AA31" s="6">
        <v>45348</v>
      </c>
      <c r="AB31" s="6">
        <v>45348</v>
      </c>
      <c r="AC31" s="6">
        <v>45426</v>
      </c>
      <c r="AD31" s="6">
        <v>45900</v>
      </c>
      <c r="AE31" s="6"/>
      <c r="AF31" s="6">
        <v>45900</v>
      </c>
      <c r="AG31" s="6"/>
      <c r="AH31" s="6">
        <v>46157</v>
      </c>
      <c r="AI31" s="4" t="s">
        <v>264</v>
      </c>
      <c r="AJ31" s="4" t="s">
        <v>284</v>
      </c>
      <c r="AK31" s="6">
        <v>46152</v>
      </c>
      <c r="AL31" s="4"/>
      <c r="AM31" s="4"/>
      <c r="AN31" s="4"/>
      <c r="AO31" s="4" t="str">
        <f t="shared" si="0"/>
        <v/>
      </c>
      <c r="AP31" s="4" t="str">
        <f t="shared" si="1"/>
        <v/>
      </c>
      <c r="AQ31" s="4">
        <f t="shared" si="2"/>
        <v>100</v>
      </c>
      <c r="AR31" s="4" t="str">
        <f t="shared" si="3"/>
        <v/>
      </c>
      <c r="AS31" s="4">
        <v>2</v>
      </c>
      <c r="AT31" s="5"/>
      <c r="AU31" s="4">
        <f t="shared" si="4"/>
        <v>100</v>
      </c>
      <c r="AV31" s="5"/>
      <c r="AW31" s="4">
        <f t="shared" si="5"/>
        <v>75</v>
      </c>
      <c r="AX31" s="4" t="str">
        <f t="shared" si="6"/>
        <v/>
      </c>
      <c r="AY31" s="4"/>
      <c r="AZ31" s="4" t="s">
        <v>231</v>
      </c>
      <c r="BA31" s="4" t="s">
        <v>109</v>
      </c>
      <c r="BB31" s="4" t="s">
        <v>285</v>
      </c>
    </row>
    <row r="32" spans="1:54" ht="70.05" customHeight="1" x14ac:dyDescent="0.3">
      <c r="A32" s="4" t="s">
        <v>286</v>
      </c>
      <c r="B32" s="4" t="s">
        <v>99</v>
      </c>
      <c r="C32" s="4" t="s">
        <v>287</v>
      </c>
      <c r="D32" s="4" t="s">
        <v>288</v>
      </c>
      <c r="E32" s="4" t="s">
        <v>102</v>
      </c>
      <c r="F32" s="4" t="s">
        <v>289</v>
      </c>
      <c r="G32" s="4" t="s">
        <v>93</v>
      </c>
      <c r="H32" s="4" t="s">
        <v>94</v>
      </c>
      <c r="I32" s="4" t="s">
        <v>104</v>
      </c>
      <c r="J32" s="4" t="s">
        <v>290</v>
      </c>
      <c r="K32" s="5">
        <v>10940798931</v>
      </c>
      <c r="L32" s="5">
        <v>0</v>
      </c>
      <c r="M32" s="5">
        <v>0</v>
      </c>
      <c r="N32" s="5">
        <v>0</v>
      </c>
      <c r="O32" s="5">
        <v>10940798931</v>
      </c>
      <c r="P32" s="5">
        <v>10089171737.309999</v>
      </c>
      <c r="Q32" s="6">
        <v>46150</v>
      </c>
      <c r="R32" s="6">
        <v>45474</v>
      </c>
      <c r="S32" s="6">
        <v>45472</v>
      </c>
      <c r="T32" s="6">
        <v>45490</v>
      </c>
      <c r="U32" s="5">
        <v>85.25</v>
      </c>
      <c r="V32" s="5">
        <v>92.22</v>
      </c>
      <c r="W32" s="4">
        <v>1</v>
      </c>
      <c r="X32" s="4">
        <v>0.97</v>
      </c>
      <c r="Y32" s="6">
        <v>45471</v>
      </c>
      <c r="Z32" s="6">
        <v>45573</v>
      </c>
      <c r="AA32" s="6">
        <v>45793</v>
      </c>
      <c r="AB32" s="6">
        <v>45793</v>
      </c>
      <c r="AC32" s="6">
        <v>45847</v>
      </c>
      <c r="AD32" s="6">
        <v>46151</v>
      </c>
      <c r="AE32" s="6"/>
      <c r="AF32" s="6"/>
      <c r="AG32" s="6"/>
      <c r="AH32" s="6">
        <v>46157</v>
      </c>
      <c r="AI32" s="4" t="s">
        <v>291</v>
      </c>
      <c r="AJ32" s="4" t="s">
        <v>292</v>
      </c>
      <c r="AK32" s="6">
        <v>46152</v>
      </c>
      <c r="AL32" s="4"/>
      <c r="AM32" s="4"/>
      <c r="AN32" s="4"/>
      <c r="AO32" s="4">
        <f t="shared" si="0"/>
        <v>100</v>
      </c>
      <c r="AP32" s="4">
        <f t="shared" si="1"/>
        <v>100</v>
      </c>
      <c r="AQ32" s="4">
        <f t="shared" si="2"/>
        <v>100</v>
      </c>
      <c r="AR32" s="4">
        <f t="shared" si="3"/>
        <v>100</v>
      </c>
      <c r="AS32" s="4">
        <v>0</v>
      </c>
      <c r="AT32" s="5"/>
      <c r="AU32" s="4">
        <f t="shared" si="4"/>
        <v>100</v>
      </c>
      <c r="AV32" s="5">
        <v>100</v>
      </c>
      <c r="AW32" s="4">
        <f t="shared" si="5"/>
        <v>100</v>
      </c>
      <c r="AX32" s="4">
        <f t="shared" si="6"/>
        <v>0</v>
      </c>
      <c r="AY32" s="4"/>
      <c r="AZ32" s="4" t="s">
        <v>293</v>
      </c>
      <c r="BA32" s="4" t="s">
        <v>109</v>
      </c>
      <c r="BB32" s="4" t="s">
        <v>69</v>
      </c>
    </row>
    <row r="33" spans="1:54" ht="70.05" customHeight="1" x14ac:dyDescent="0.3">
      <c r="A33" s="4" t="s">
        <v>294</v>
      </c>
      <c r="B33" s="4" t="s">
        <v>295</v>
      </c>
      <c r="C33" s="4" t="s">
        <v>296</v>
      </c>
      <c r="D33" s="4" t="s">
        <v>297</v>
      </c>
      <c r="E33" s="4" t="s">
        <v>298</v>
      </c>
      <c r="F33" s="4" t="s">
        <v>299</v>
      </c>
      <c r="G33" s="4" t="s">
        <v>93</v>
      </c>
      <c r="H33" s="4" t="s">
        <v>94</v>
      </c>
      <c r="I33" s="4" t="s">
        <v>76</v>
      </c>
      <c r="J33" s="4" t="s">
        <v>105</v>
      </c>
      <c r="K33" s="5">
        <v>8600669220</v>
      </c>
      <c r="L33" s="5">
        <v>0</v>
      </c>
      <c r="M33" s="5">
        <v>216384280</v>
      </c>
      <c r="N33" s="5">
        <v>0</v>
      </c>
      <c r="O33" s="5">
        <v>8817053500</v>
      </c>
      <c r="P33" s="5">
        <v>3440267688</v>
      </c>
      <c r="Q33" s="6">
        <v>45895</v>
      </c>
      <c r="R33" s="6">
        <v>45094</v>
      </c>
      <c r="S33" s="6">
        <v>45094</v>
      </c>
      <c r="T33" s="6">
        <v>45100</v>
      </c>
      <c r="U33" s="5">
        <v>98.16</v>
      </c>
      <c r="V33" s="5">
        <v>39.020000000000003</v>
      </c>
      <c r="W33" s="4">
        <v>0</v>
      </c>
      <c r="X33" s="4">
        <v>0</v>
      </c>
      <c r="Y33" s="6">
        <v>45093</v>
      </c>
      <c r="Z33" s="6">
        <v>45093</v>
      </c>
      <c r="AA33" s="6">
        <v>45188</v>
      </c>
      <c r="AB33" s="6">
        <v>45188</v>
      </c>
      <c r="AC33" s="6">
        <v>45202</v>
      </c>
      <c r="AD33" s="6">
        <v>46056</v>
      </c>
      <c r="AE33" s="6"/>
      <c r="AF33" s="6"/>
      <c r="AG33" s="6"/>
      <c r="AH33" s="6">
        <v>46157</v>
      </c>
      <c r="AI33" s="4" t="s">
        <v>300</v>
      </c>
      <c r="AJ33" s="4" t="s">
        <v>301</v>
      </c>
      <c r="AK33" s="6">
        <v>46152</v>
      </c>
      <c r="AL33" s="4"/>
      <c r="AM33" s="4"/>
      <c r="AN33" s="4"/>
      <c r="AO33" s="4">
        <f t="shared" si="0"/>
        <v>0</v>
      </c>
      <c r="AP33" s="4">
        <f t="shared" si="1"/>
        <v>0</v>
      </c>
      <c r="AQ33" s="4">
        <f t="shared" si="2"/>
        <v>100</v>
      </c>
      <c r="AR33" s="4">
        <f t="shared" si="3"/>
        <v>100</v>
      </c>
      <c r="AS33" s="4">
        <v>3</v>
      </c>
      <c r="AT33" s="5"/>
      <c r="AU33" s="4">
        <f t="shared" si="4"/>
        <v>100</v>
      </c>
      <c r="AV33" s="5">
        <v>0</v>
      </c>
      <c r="AW33" s="4">
        <f t="shared" si="5"/>
        <v>60</v>
      </c>
      <c r="AX33" s="4">
        <f t="shared" si="6"/>
        <v>0</v>
      </c>
      <c r="AY33" s="4"/>
      <c r="AZ33" s="4" t="s">
        <v>302</v>
      </c>
      <c r="BA33" s="4" t="s">
        <v>133</v>
      </c>
      <c r="BB33" s="4" t="s">
        <v>303</v>
      </c>
    </row>
    <row r="34" spans="1:54" ht="70.05" customHeight="1" x14ac:dyDescent="0.3">
      <c r="A34" s="4" t="s">
        <v>304</v>
      </c>
      <c r="B34" s="4" t="s">
        <v>99</v>
      </c>
      <c r="C34" s="4" t="s">
        <v>305</v>
      </c>
      <c r="D34" s="4" t="s">
        <v>306</v>
      </c>
      <c r="E34" s="4" t="s">
        <v>307</v>
      </c>
      <c r="F34" s="4" t="s">
        <v>308</v>
      </c>
      <c r="G34" s="4" t="s">
        <v>230</v>
      </c>
      <c r="H34" s="4" t="s">
        <v>115</v>
      </c>
      <c r="I34" s="4" t="s">
        <v>104</v>
      </c>
      <c r="J34" s="4" t="s">
        <v>105</v>
      </c>
      <c r="K34" s="5">
        <v>1657061525</v>
      </c>
      <c r="L34" s="5">
        <v>0</v>
      </c>
      <c r="M34" s="5">
        <v>0</v>
      </c>
      <c r="N34" s="5">
        <v>0</v>
      </c>
      <c r="O34" s="5">
        <v>1657061525</v>
      </c>
      <c r="P34" s="5">
        <v>1657061514.45</v>
      </c>
      <c r="Q34" s="6">
        <v>45986</v>
      </c>
      <c r="R34" s="6">
        <v>45104</v>
      </c>
      <c r="S34" s="6">
        <v>45094</v>
      </c>
      <c r="T34" s="6">
        <v>45105</v>
      </c>
      <c r="U34" s="5">
        <v>100.01</v>
      </c>
      <c r="V34" s="5">
        <v>100</v>
      </c>
      <c r="W34" s="4"/>
      <c r="X34" s="4"/>
      <c r="Y34" s="6">
        <v>45093</v>
      </c>
      <c r="Z34" s="6">
        <v>45275</v>
      </c>
      <c r="AA34" s="6">
        <v>45386</v>
      </c>
      <c r="AB34" s="6">
        <v>45343</v>
      </c>
      <c r="AC34" s="6">
        <v>45411</v>
      </c>
      <c r="AD34" s="6">
        <v>45716</v>
      </c>
      <c r="AE34" s="6"/>
      <c r="AF34" s="6">
        <v>45716</v>
      </c>
      <c r="AG34" s="6"/>
      <c r="AH34" s="6">
        <v>46157</v>
      </c>
      <c r="AI34" s="4" t="s">
        <v>309</v>
      </c>
      <c r="AJ34" s="4" t="s">
        <v>265</v>
      </c>
      <c r="AK34" s="6">
        <v>46152</v>
      </c>
      <c r="AL34" s="4"/>
      <c r="AM34" s="4"/>
      <c r="AN34" s="4"/>
      <c r="AO34" s="4" t="str">
        <f t="shared" si="0"/>
        <v/>
      </c>
      <c r="AP34" s="4" t="str">
        <f t="shared" si="1"/>
        <v/>
      </c>
      <c r="AQ34" s="4">
        <f t="shared" si="2"/>
        <v>100</v>
      </c>
      <c r="AR34" s="4" t="str">
        <f t="shared" si="3"/>
        <v/>
      </c>
      <c r="AS34" s="4">
        <v>1</v>
      </c>
      <c r="AT34" s="5"/>
      <c r="AU34" s="4">
        <f t="shared" si="4"/>
        <v>100</v>
      </c>
      <c r="AV34" s="5"/>
      <c r="AW34" s="4">
        <f t="shared" si="5"/>
        <v>90</v>
      </c>
      <c r="AX34" s="4" t="str">
        <f t="shared" si="6"/>
        <v/>
      </c>
      <c r="AY34" s="4"/>
      <c r="AZ34" s="4" t="s">
        <v>231</v>
      </c>
      <c r="BA34" s="4" t="s">
        <v>109</v>
      </c>
      <c r="BB34" s="4" t="s">
        <v>310</v>
      </c>
    </row>
    <row r="35" spans="1:54" ht="70.05" customHeight="1" x14ac:dyDescent="0.3">
      <c r="A35" s="4" t="s">
        <v>311</v>
      </c>
      <c r="B35" s="4" t="s">
        <v>89</v>
      </c>
      <c r="C35" s="4" t="s">
        <v>312</v>
      </c>
      <c r="D35" s="4" t="s">
        <v>313</v>
      </c>
      <c r="E35" s="4" t="s">
        <v>314</v>
      </c>
      <c r="F35" s="4" t="s">
        <v>315</v>
      </c>
      <c r="G35" s="4" t="s">
        <v>230</v>
      </c>
      <c r="H35" s="4" t="s">
        <v>115</v>
      </c>
      <c r="I35" s="4" t="s">
        <v>179</v>
      </c>
      <c r="J35" s="4" t="s">
        <v>105</v>
      </c>
      <c r="K35" s="5">
        <v>14555629486.65</v>
      </c>
      <c r="L35" s="5">
        <v>0</v>
      </c>
      <c r="M35" s="5">
        <v>0</v>
      </c>
      <c r="N35" s="5">
        <v>0</v>
      </c>
      <c r="O35" s="5">
        <v>14555629486.65</v>
      </c>
      <c r="P35" s="5">
        <v>13745203046.280001</v>
      </c>
      <c r="Q35" s="6">
        <v>45328</v>
      </c>
      <c r="R35" s="6">
        <v>45104</v>
      </c>
      <c r="S35" s="6">
        <v>45101</v>
      </c>
      <c r="T35" s="6">
        <v>45107</v>
      </c>
      <c r="U35" s="5">
        <v>94.43</v>
      </c>
      <c r="V35" s="5">
        <v>94.43</v>
      </c>
      <c r="W35" s="4"/>
      <c r="X35" s="4"/>
      <c r="Y35" s="6">
        <v>45100</v>
      </c>
      <c r="Z35" s="6"/>
      <c r="AA35" s="6">
        <v>45223</v>
      </c>
      <c r="AB35" s="6">
        <v>45175</v>
      </c>
      <c r="AC35" s="6">
        <v>45223</v>
      </c>
      <c r="AD35" s="6">
        <v>45288</v>
      </c>
      <c r="AE35" s="6"/>
      <c r="AF35" s="6">
        <v>45288</v>
      </c>
      <c r="AG35" s="6"/>
      <c r="AH35" s="6">
        <v>46157</v>
      </c>
      <c r="AI35" s="4"/>
      <c r="AJ35" s="4"/>
      <c r="AK35" s="6"/>
      <c r="AL35" s="4"/>
      <c r="AM35" s="4"/>
      <c r="AN35" s="4"/>
      <c r="AO35" s="4" t="str">
        <f t="shared" ref="AO35:AO60" si="7">IF(AND($X35&gt;1.3,$G35="CONTRATADO EN EJECUCIÓN"),0,IF(AND($X35&gt;1.25,$X35&lt;=1.3,$G35="CONTRATADO EN EJECUCIÓN"),30,IF(AND($X35&gt;1.2,$X35&lt;=1.25,$G35="CONTRATADO EN EJECUCIÓN"),90,IF(AND($X35&gt;=0.84,$X35&lt;1.2,$G35="CONTRATADO EN EJECUCIÓN"),100,IF(AND($X35&gt;=0.38,$X35&lt;0.84,$G35="CONTRATADO EN EJECUCIÓN"),(($X35-0.38)/(0.84-0.38))*100,IF(AND($X35&lt;0.38,$G35="CONTRATADO EN EJECUCIÓN"),0,""))))))</f>
        <v/>
      </c>
      <c r="AP35" s="4" t="str">
        <f t="shared" ref="AP35:AP60" si="8">IF(AND($W35&gt;1.3,$G35="CONTRATADO EN EJECUCIÓN"),0,IF(AND($W35&gt;1.25,$W35&lt;=1.3,$G35="CONTRATADO EN EJECUCIÓN"),30,IF(AND($W35&gt;1.2,$W35&lt;=1.25,$G35="CONTRATADO EN EJECUCIÓN"),90,IF(AND($W35&gt;=0.84,$W35&lt;1.2,$G35="CONTRATADO EN EJECUCIÓN"),100,IF(AND($W35&gt;=0.38,$W35&lt;0.84,$G35="CONTRATADO EN EJECUCIÓN"),(($W35-0.38)/(0.84-0.38))*100,IF(AND($W35&lt;0.38,$G35="CONTRATADO EN EJECUCIÓN"),0,""))))))</f>
        <v/>
      </c>
      <c r="AQ35" s="4">
        <f t="shared" ref="AQ35:AQ60" si="9">IF(AND($V35&lt;60,($V35-$U35)&lt;=50),100,IF(AND($V35&lt;60,($V35-$U35)&gt;50),0,IF(AND($V35&gt;=60,$V35&lt;70,($V35-$U35)&lt;=40),100,IF(AND($V35&gt;=60,$V35&lt;70,($V35-$U35)&gt;40),0,IF(AND($V35&gt;=70,$V35&lt;80,($V35-$U35)&lt;=30),100,IF(AND($V35&gt;=70,$V35&lt;80,($V35-$U35)&gt;30),0,IF(AND($V35&gt;=80,$V35&lt;90,($V35-$U35)&lt;=20),100,IF(AND($V35&gt;=80,$V35&lt;90,($V35-$U35)&gt;20),0,IF(AND($V35&gt;=90,$V35&lt;=100,($V35-$U35)&lt;=10),100,IF(AND($V35&gt;=90,$V35&lt;=100,($V35-$U35)&gt;10),0,""))))))))))</f>
        <v>100</v>
      </c>
      <c r="AR35" s="4" t="str">
        <f t="shared" ref="AR35:AR60" si="10">IF(AND($U35&gt;$V35,$G35="CONTRATADO EN EJECUCIÓN"),100,IF(AND($V35&gt;$U35,($V35-$U35)&gt;50,$G35="CONTRATADO EN EJECUCIÓN"),0,IF(AND($V35&gt;$U35,($V35-$U35)&lt;=50,$V35&lt;=60),100,IF(AND($V35&gt;$U35,($V35-$U35)&lt;=50,$V35&gt;60),$AQ35,""))))</f>
        <v/>
      </c>
      <c r="AS35" s="4">
        <v>0</v>
      </c>
      <c r="AT35" s="5"/>
      <c r="AU35" s="4" t="str">
        <f t="shared" ref="AU35:AU60" si="11">IF(ISNUMBER($AK35),IF(DAY($AK35)=10,100,IF(DAY($AK35)=11,80,IF(DAY($AK35)=12,50,0))),"")</f>
        <v/>
      </c>
      <c r="AV35" s="5"/>
      <c r="AW35" s="4">
        <f t="shared" ref="AW35:AW60" si="12">IF($AS35=0,100,IF($AS35=1,90,IF($AS35=2,75,IF($AS35=3,60,IF($AS35=4,50,IF($AS35=5,25,IF($AS35&gt;=6,0,"")))))))</f>
        <v>100</v>
      </c>
      <c r="AX35" s="4" t="str">
        <f t="shared" ref="AX35:AX60" si="13">IFERROR(IF($G35="CONTRATADO EN EJECUCIÓN",IF(AND(ISNUMBER($AD35),ISNUMBER($AH35),$AD35&lt;$AH35),0,IF($AS35&gt;=1,(IFERROR(IF(ISTEXT($AI35),($AO35*0.4+$AP35*0.2+$AR35*0.4),""),""))*$AW35/100,IFERROR(IF(ISTEXT($AI35),($AO35*0.4+$AP35*0.2+$AR35*0.4),""),""))),IF($G35="CONTRATADO SIN ACTA DE INICIO",IF(AND($AH35-$AB35&gt;=0,$AH35-$AB35&lt;=30),100,0),"")),"Revisar")</f>
        <v/>
      </c>
      <c r="AY35" s="4"/>
      <c r="AZ35" s="4" t="s">
        <v>231</v>
      </c>
      <c r="BA35" s="4" t="s">
        <v>79</v>
      </c>
      <c r="BB35" s="4" t="s">
        <v>97</v>
      </c>
    </row>
    <row r="36" spans="1:54" ht="70.05" customHeight="1" x14ac:dyDescent="0.3">
      <c r="A36" s="4" t="s">
        <v>316</v>
      </c>
      <c r="B36" s="4" t="s">
        <v>99</v>
      </c>
      <c r="C36" s="4" t="s">
        <v>317</v>
      </c>
      <c r="D36" s="4" t="s">
        <v>318</v>
      </c>
      <c r="E36" s="4" t="s">
        <v>102</v>
      </c>
      <c r="F36" s="4" t="s">
        <v>319</v>
      </c>
      <c r="G36" s="4" t="s">
        <v>93</v>
      </c>
      <c r="H36" s="4" t="s">
        <v>94</v>
      </c>
      <c r="I36" s="4" t="s">
        <v>104</v>
      </c>
      <c r="J36" s="4" t="s">
        <v>105</v>
      </c>
      <c r="K36" s="5">
        <v>23521931236</v>
      </c>
      <c r="L36" s="5">
        <v>0</v>
      </c>
      <c r="M36" s="5">
        <v>30000000000</v>
      </c>
      <c r="N36" s="5">
        <v>0</v>
      </c>
      <c r="O36" s="5">
        <v>53521931236</v>
      </c>
      <c r="P36" s="5">
        <v>1833458390</v>
      </c>
      <c r="Q36" s="6">
        <v>46078</v>
      </c>
      <c r="R36" s="6">
        <v>45508</v>
      </c>
      <c r="S36" s="6">
        <v>45506</v>
      </c>
      <c r="T36" s="6">
        <v>45505</v>
      </c>
      <c r="U36" s="5">
        <v>7.66</v>
      </c>
      <c r="V36" s="5">
        <v>2.78</v>
      </c>
      <c r="W36" s="4">
        <v>1</v>
      </c>
      <c r="X36" s="4">
        <v>0.71</v>
      </c>
      <c r="Y36" s="6">
        <v>45505</v>
      </c>
      <c r="Z36" s="6"/>
      <c r="AA36" s="6">
        <v>45953</v>
      </c>
      <c r="AB36" s="6">
        <v>45953</v>
      </c>
      <c r="AC36" s="6">
        <v>45967</v>
      </c>
      <c r="AD36" s="6">
        <v>46727</v>
      </c>
      <c r="AE36" s="6"/>
      <c r="AF36" s="6"/>
      <c r="AG36" s="6"/>
      <c r="AH36" s="6">
        <v>46157</v>
      </c>
      <c r="AI36" s="4" t="s">
        <v>320</v>
      </c>
      <c r="AJ36" s="4" t="s">
        <v>321</v>
      </c>
      <c r="AK36" s="6">
        <v>46152</v>
      </c>
      <c r="AL36" s="4"/>
      <c r="AM36" s="4"/>
      <c r="AN36" s="4"/>
      <c r="AO36" s="4">
        <f t="shared" si="7"/>
        <v>71.739130434782609</v>
      </c>
      <c r="AP36" s="4">
        <f t="shared" si="8"/>
        <v>100</v>
      </c>
      <c r="AQ36" s="4">
        <f t="shared" si="9"/>
        <v>100</v>
      </c>
      <c r="AR36" s="4">
        <f t="shared" si="10"/>
        <v>100</v>
      </c>
      <c r="AS36" s="4">
        <v>0</v>
      </c>
      <c r="AT36" s="5"/>
      <c r="AU36" s="4">
        <f t="shared" si="11"/>
        <v>100</v>
      </c>
      <c r="AV36" s="5">
        <v>100</v>
      </c>
      <c r="AW36" s="4">
        <f t="shared" si="12"/>
        <v>100</v>
      </c>
      <c r="AX36" s="4">
        <f t="shared" si="13"/>
        <v>88.695652173913047</v>
      </c>
      <c r="AY36" s="4"/>
      <c r="AZ36" s="4" t="s">
        <v>322</v>
      </c>
      <c r="BA36" s="4" t="s">
        <v>133</v>
      </c>
      <c r="BB36" s="4" t="s">
        <v>323</v>
      </c>
    </row>
    <row r="37" spans="1:54" ht="70.05" customHeight="1" x14ac:dyDescent="0.3">
      <c r="A37" s="4" t="s">
        <v>324</v>
      </c>
      <c r="B37" s="4" t="s">
        <v>81</v>
      </c>
      <c r="C37" s="4" t="s">
        <v>325</v>
      </c>
      <c r="D37" s="4" t="s">
        <v>326</v>
      </c>
      <c r="E37" s="4" t="s">
        <v>153</v>
      </c>
      <c r="F37" s="4" t="s">
        <v>327</v>
      </c>
      <c r="G37" s="4" t="s">
        <v>61</v>
      </c>
      <c r="H37" s="4" t="s">
        <v>94</v>
      </c>
      <c r="I37" s="4" t="s">
        <v>76</v>
      </c>
      <c r="J37" s="4" t="s">
        <v>105</v>
      </c>
      <c r="K37" s="5">
        <v>2999999744</v>
      </c>
      <c r="L37" s="5">
        <v>0</v>
      </c>
      <c r="M37" s="5">
        <v>0</v>
      </c>
      <c r="N37" s="5">
        <v>0</v>
      </c>
      <c r="O37" s="5">
        <v>2999999744</v>
      </c>
      <c r="P37" s="5">
        <v>2999999744</v>
      </c>
      <c r="Q37" s="6">
        <v>45477</v>
      </c>
      <c r="R37" s="6">
        <v>45241</v>
      </c>
      <c r="S37" s="6">
        <v>45234</v>
      </c>
      <c r="T37" s="6">
        <v>45244</v>
      </c>
      <c r="U37" s="5">
        <v>95.7</v>
      </c>
      <c r="V37" s="5">
        <v>100</v>
      </c>
      <c r="W37" s="4"/>
      <c r="X37" s="4"/>
      <c r="Y37" s="6">
        <v>45233</v>
      </c>
      <c r="Z37" s="6">
        <v>45408</v>
      </c>
      <c r="AA37" s="6">
        <v>45427</v>
      </c>
      <c r="AB37" s="6">
        <v>45427</v>
      </c>
      <c r="AC37" s="6">
        <v>45440</v>
      </c>
      <c r="AD37" s="6">
        <v>45900</v>
      </c>
      <c r="AE37" s="6"/>
      <c r="AF37" s="6">
        <v>45968</v>
      </c>
      <c r="AG37" s="6"/>
      <c r="AH37" s="6">
        <v>46157</v>
      </c>
      <c r="AI37" s="4" t="s">
        <v>328</v>
      </c>
      <c r="AJ37" s="4" t="s">
        <v>329</v>
      </c>
      <c r="AK37" s="6">
        <v>46155</v>
      </c>
      <c r="AL37" s="4"/>
      <c r="AM37" s="4"/>
      <c r="AN37" s="4"/>
      <c r="AO37" s="4" t="str">
        <f t="shared" si="7"/>
        <v/>
      </c>
      <c r="AP37" s="4" t="str">
        <f t="shared" si="8"/>
        <v/>
      </c>
      <c r="AQ37" s="4">
        <f t="shared" si="9"/>
        <v>100</v>
      </c>
      <c r="AR37" s="4">
        <f t="shared" si="10"/>
        <v>100</v>
      </c>
      <c r="AS37" s="4">
        <v>1</v>
      </c>
      <c r="AT37" s="5"/>
      <c r="AU37" s="4">
        <f t="shared" si="11"/>
        <v>0</v>
      </c>
      <c r="AV37" s="5">
        <v>100</v>
      </c>
      <c r="AW37" s="4">
        <f t="shared" si="12"/>
        <v>90</v>
      </c>
      <c r="AX37" s="4" t="str">
        <f t="shared" si="13"/>
        <v/>
      </c>
      <c r="AY37" s="4"/>
      <c r="AZ37" s="4" t="s">
        <v>330</v>
      </c>
      <c r="BA37" s="4" t="s">
        <v>79</v>
      </c>
      <c r="BB37" s="4" t="s">
        <v>331</v>
      </c>
    </row>
    <row r="38" spans="1:54" ht="70.05" customHeight="1" x14ac:dyDescent="0.3">
      <c r="A38" s="4" t="s">
        <v>332</v>
      </c>
      <c r="B38" s="4" t="s">
        <v>99</v>
      </c>
      <c r="C38" s="4" t="s">
        <v>333</v>
      </c>
      <c r="D38" s="4" t="s">
        <v>334</v>
      </c>
      <c r="E38" s="4" t="s">
        <v>235</v>
      </c>
      <c r="F38" s="4" t="s">
        <v>335</v>
      </c>
      <c r="G38" s="4" t="s">
        <v>93</v>
      </c>
      <c r="H38" s="4" t="s">
        <v>94</v>
      </c>
      <c r="I38" s="4" t="s">
        <v>104</v>
      </c>
      <c r="J38" s="4" t="s">
        <v>336</v>
      </c>
      <c r="K38" s="5">
        <v>10877971203</v>
      </c>
      <c r="L38" s="5">
        <v>0</v>
      </c>
      <c r="M38" s="5">
        <v>0</v>
      </c>
      <c r="N38" s="5">
        <v>0</v>
      </c>
      <c r="O38" s="5">
        <v>10877971203</v>
      </c>
      <c r="P38" s="5">
        <v>7045786431.6599998</v>
      </c>
      <c r="Q38" s="6">
        <v>46072</v>
      </c>
      <c r="R38" s="6">
        <v>45301</v>
      </c>
      <c r="S38" s="6">
        <v>45291</v>
      </c>
      <c r="T38" s="6">
        <v>45290</v>
      </c>
      <c r="U38" s="5">
        <v>58.95</v>
      </c>
      <c r="V38" s="5">
        <v>64.77</v>
      </c>
      <c r="W38" s="4">
        <v>1</v>
      </c>
      <c r="X38" s="4">
        <v>0.7</v>
      </c>
      <c r="Y38" s="6">
        <v>45290</v>
      </c>
      <c r="Z38" s="6">
        <v>45411</v>
      </c>
      <c r="AA38" s="6">
        <v>45573</v>
      </c>
      <c r="AB38" s="6">
        <v>45573</v>
      </c>
      <c r="AC38" s="6">
        <v>45616</v>
      </c>
      <c r="AD38" s="6">
        <v>46177</v>
      </c>
      <c r="AE38" s="6"/>
      <c r="AF38" s="6"/>
      <c r="AG38" s="6"/>
      <c r="AH38" s="6">
        <v>46157</v>
      </c>
      <c r="AI38" s="4" t="s">
        <v>320</v>
      </c>
      <c r="AJ38" s="4" t="s">
        <v>337</v>
      </c>
      <c r="AK38" s="6">
        <v>46152</v>
      </c>
      <c r="AL38" s="4"/>
      <c r="AM38" s="4"/>
      <c r="AN38" s="4"/>
      <c r="AO38" s="4">
        <f t="shared" si="7"/>
        <v>69.565217391304344</v>
      </c>
      <c r="AP38" s="4">
        <f t="shared" si="8"/>
        <v>100</v>
      </c>
      <c r="AQ38" s="4">
        <f t="shared" si="9"/>
        <v>100</v>
      </c>
      <c r="AR38" s="4">
        <f t="shared" si="10"/>
        <v>100</v>
      </c>
      <c r="AS38" s="4">
        <v>1</v>
      </c>
      <c r="AT38" s="5"/>
      <c r="AU38" s="4">
        <f t="shared" si="11"/>
        <v>100</v>
      </c>
      <c r="AV38" s="5">
        <v>100</v>
      </c>
      <c r="AW38" s="4">
        <f t="shared" si="12"/>
        <v>90</v>
      </c>
      <c r="AX38" s="4">
        <f t="shared" si="13"/>
        <v>79.043478260869563</v>
      </c>
      <c r="AY38" s="4"/>
      <c r="AZ38" s="4" t="s">
        <v>338</v>
      </c>
      <c r="BA38" s="4" t="s">
        <v>109</v>
      </c>
      <c r="BB38" s="4" t="s">
        <v>69</v>
      </c>
    </row>
    <row r="39" spans="1:54" ht="70.05" customHeight="1" x14ac:dyDescent="0.3">
      <c r="A39" s="4" t="s">
        <v>339</v>
      </c>
      <c r="B39" s="4" t="s">
        <v>89</v>
      </c>
      <c r="C39" s="4" t="s">
        <v>340</v>
      </c>
      <c r="D39" s="4" t="s">
        <v>341</v>
      </c>
      <c r="E39" s="4" t="s">
        <v>314</v>
      </c>
      <c r="F39" s="4" t="s">
        <v>342</v>
      </c>
      <c r="G39" s="4" t="s">
        <v>61</v>
      </c>
      <c r="H39" s="4" t="s">
        <v>94</v>
      </c>
      <c r="I39" s="4" t="s">
        <v>179</v>
      </c>
      <c r="J39" s="4" t="s">
        <v>343</v>
      </c>
      <c r="K39" s="5">
        <v>20000000000</v>
      </c>
      <c r="L39" s="5">
        <v>0</v>
      </c>
      <c r="M39" s="5">
        <v>5812601822.2700005</v>
      </c>
      <c r="N39" s="5">
        <v>0</v>
      </c>
      <c r="O39" s="5">
        <v>25812601822.27</v>
      </c>
      <c r="P39" s="5">
        <v>19985101937.880001</v>
      </c>
      <c r="Q39" s="6">
        <v>45656</v>
      </c>
      <c r="R39" s="6">
        <v>45332</v>
      </c>
      <c r="S39" s="6">
        <v>45330</v>
      </c>
      <c r="T39" s="6">
        <v>45470</v>
      </c>
      <c r="U39" s="5">
        <v>96.54</v>
      </c>
      <c r="V39" s="5">
        <v>77.42</v>
      </c>
      <c r="W39" s="4"/>
      <c r="X39" s="4"/>
      <c r="Y39" s="6">
        <v>45329</v>
      </c>
      <c r="Z39" s="6">
        <v>45575</v>
      </c>
      <c r="AA39" s="6">
        <v>45575</v>
      </c>
      <c r="AB39" s="6">
        <v>45338</v>
      </c>
      <c r="AC39" s="6">
        <v>45580</v>
      </c>
      <c r="AD39" s="6">
        <v>45656</v>
      </c>
      <c r="AE39" s="6"/>
      <c r="AF39" s="6">
        <v>45656</v>
      </c>
      <c r="AG39" s="6"/>
      <c r="AH39" s="6">
        <v>46157</v>
      </c>
      <c r="AI39" s="4" t="s">
        <v>344</v>
      </c>
      <c r="AJ39" s="4" t="s">
        <v>66</v>
      </c>
      <c r="AK39" s="6">
        <v>46157</v>
      </c>
      <c r="AL39" s="4"/>
      <c r="AM39" s="4"/>
      <c r="AN39" s="4"/>
      <c r="AO39" s="4" t="str">
        <f t="shared" si="7"/>
        <v/>
      </c>
      <c r="AP39" s="4" t="str">
        <f t="shared" si="8"/>
        <v/>
      </c>
      <c r="AQ39" s="4">
        <f t="shared" si="9"/>
        <v>100</v>
      </c>
      <c r="AR39" s="4" t="str">
        <f t="shared" si="10"/>
        <v/>
      </c>
      <c r="AS39" s="4">
        <v>1</v>
      </c>
      <c r="AT39" s="5"/>
      <c r="AU39" s="4">
        <f t="shared" si="11"/>
        <v>0</v>
      </c>
      <c r="AV39" s="5">
        <v>0</v>
      </c>
      <c r="AW39" s="4">
        <f t="shared" si="12"/>
        <v>90</v>
      </c>
      <c r="AX39" s="4" t="str">
        <f t="shared" si="13"/>
        <v/>
      </c>
      <c r="AY39" s="4"/>
      <c r="AZ39" s="4" t="s">
        <v>345</v>
      </c>
      <c r="BA39" s="4" t="s">
        <v>79</v>
      </c>
      <c r="BB39" s="4" t="s">
        <v>97</v>
      </c>
    </row>
    <row r="40" spans="1:54" ht="70.05" customHeight="1" x14ac:dyDescent="0.3">
      <c r="A40" s="4" t="s">
        <v>346</v>
      </c>
      <c r="B40" s="4" t="s">
        <v>99</v>
      </c>
      <c r="C40" s="4" t="s">
        <v>347</v>
      </c>
      <c r="D40" s="4" t="s">
        <v>348</v>
      </c>
      <c r="E40" s="4" t="s">
        <v>307</v>
      </c>
      <c r="F40" s="4" t="s">
        <v>349</v>
      </c>
      <c r="G40" s="4" t="s">
        <v>93</v>
      </c>
      <c r="H40" s="4" t="s">
        <v>94</v>
      </c>
      <c r="I40" s="4" t="s">
        <v>63</v>
      </c>
      <c r="J40" s="4" t="s">
        <v>105</v>
      </c>
      <c r="K40" s="5">
        <v>2401226400</v>
      </c>
      <c r="L40" s="5">
        <v>0</v>
      </c>
      <c r="M40" s="5">
        <v>0</v>
      </c>
      <c r="N40" s="5">
        <v>0</v>
      </c>
      <c r="O40" s="5">
        <v>2401226400</v>
      </c>
      <c r="P40" s="5">
        <v>1505440058</v>
      </c>
      <c r="Q40" s="6">
        <v>46136</v>
      </c>
      <c r="R40" s="6">
        <v>45759</v>
      </c>
      <c r="S40" s="6">
        <v>45757</v>
      </c>
      <c r="T40" s="6">
        <v>45770</v>
      </c>
      <c r="U40" s="5">
        <v>49.92</v>
      </c>
      <c r="V40" s="5">
        <v>62.69</v>
      </c>
      <c r="W40" s="4">
        <v>1</v>
      </c>
      <c r="X40" s="4">
        <v>0.69</v>
      </c>
      <c r="Y40" s="6">
        <v>45756</v>
      </c>
      <c r="Z40" s="6">
        <v>45917</v>
      </c>
      <c r="AA40" s="6">
        <v>45994</v>
      </c>
      <c r="AB40" s="6">
        <v>45994</v>
      </c>
      <c r="AC40" s="6">
        <v>46006</v>
      </c>
      <c r="AD40" s="6">
        <v>46198</v>
      </c>
      <c r="AE40" s="6"/>
      <c r="AF40" s="6"/>
      <c r="AG40" s="6"/>
      <c r="AH40" s="6">
        <v>46157</v>
      </c>
      <c r="AI40" s="4" t="s">
        <v>350</v>
      </c>
      <c r="AJ40" s="4" t="s">
        <v>351</v>
      </c>
      <c r="AK40" s="6">
        <v>46152</v>
      </c>
      <c r="AL40" s="4"/>
      <c r="AM40" s="4"/>
      <c r="AN40" s="4"/>
      <c r="AO40" s="4">
        <f t="shared" si="7"/>
        <v>67.391304347826079</v>
      </c>
      <c r="AP40" s="4">
        <f t="shared" si="8"/>
        <v>100</v>
      </c>
      <c r="AQ40" s="4">
        <f t="shared" si="9"/>
        <v>100</v>
      </c>
      <c r="AR40" s="4">
        <f t="shared" si="10"/>
        <v>100</v>
      </c>
      <c r="AS40" s="4">
        <v>0</v>
      </c>
      <c r="AT40" s="5"/>
      <c r="AU40" s="4">
        <f t="shared" si="11"/>
        <v>100</v>
      </c>
      <c r="AV40" s="5">
        <v>100</v>
      </c>
      <c r="AW40" s="4">
        <f t="shared" si="12"/>
        <v>100</v>
      </c>
      <c r="AX40" s="4">
        <f t="shared" si="13"/>
        <v>86.956521739130437</v>
      </c>
      <c r="AY40" s="4"/>
      <c r="AZ40" s="4" t="s">
        <v>352</v>
      </c>
      <c r="BA40" s="4" t="s">
        <v>109</v>
      </c>
      <c r="BB40" s="4" t="s">
        <v>353</v>
      </c>
    </row>
    <row r="41" spans="1:54" ht="70.05" customHeight="1" x14ac:dyDescent="0.3">
      <c r="A41" s="4" t="s">
        <v>354</v>
      </c>
      <c r="B41" s="4" t="s">
        <v>295</v>
      </c>
      <c r="C41" s="4" t="s">
        <v>355</v>
      </c>
      <c r="D41" s="4" t="s">
        <v>356</v>
      </c>
      <c r="E41" s="4" t="s">
        <v>298</v>
      </c>
      <c r="F41" s="4" t="s">
        <v>357</v>
      </c>
      <c r="G41" s="4" t="s">
        <v>93</v>
      </c>
      <c r="H41" s="4" t="s">
        <v>94</v>
      </c>
      <c r="I41" s="4" t="s">
        <v>76</v>
      </c>
      <c r="J41" s="4" t="s">
        <v>238</v>
      </c>
      <c r="K41" s="5">
        <v>1207242704</v>
      </c>
      <c r="L41" s="5">
        <v>0</v>
      </c>
      <c r="M41" s="5">
        <v>219361128</v>
      </c>
      <c r="N41" s="5">
        <v>0</v>
      </c>
      <c r="O41" s="5">
        <v>1426603832</v>
      </c>
      <c r="P41" s="5">
        <v>1174484084</v>
      </c>
      <c r="Q41" s="6">
        <v>46164</v>
      </c>
      <c r="R41" s="6">
        <v>45590</v>
      </c>
      <c r="S41" s="6">
        <v>45583</v>
      </c>
      <c r="T41" s="6">
        <v>45636</v>
      </c>
      <c r="U41" s="5">
        <v>99.87</v>
      </c>
      <c r="V41" s="5">
        <v>82.33</v>
      </c>
      <c r="W41" s="4">
        <v>1</v>
      </c>
      <c r="X41" s="4">
        <v>1</v>
      </c>
      <c r="Y41" s="6">
        <v>45582</v>
      </c>
      <c r="Z41" s="6">
        <v>45754</v>
      </c>
      <c r="AA41" s="6">
        <v>45762</v>
      </c>
      <c r="AB41" s="6">
        <v>45762</v>
      </c>
      <c r="AC41" s="6">
        <v>45793</v>
      </c>
      <c r="AD41" s="6">
        <v>46127</v>
      </c>
      <c r="AE41" s="6"/>
      <c r="AF41" s="6"/>
      <c r="AG41" s="6"/>
      <c r="AH41" s="6">
        <v>46157</v>
      </c>
      <c r="AI41" s="4" t="s">
        <v>358</v>
      </c>
      <c r="AJ41" s="4" t="s">
        <v>359</v>
      </c>
      <c r="AK41" s="6">
        <v>46152</v>
      </c>
      <c r="AL41" s="4"/>
      <c r="AM41" s="4"/>
      <c r="AN41" s="4"/>
      <c r="AO41" s="4">
        <f t="shared" si="7"/>
        <v>100</v>
      </c>
      <c r="AP41" s="4">
        <f t="shared" si="8"/>
        <v>100</v>
      </c>
      <c r="AQ41" s="4">
        <f t="shared" si="9"/>
        <v>100</v>
      </c>
      <c r="AR41" s="4">
        <f t="shared" si="10"/>
        <v>100</v>
      </c>
      <c r="AS41" s="4">
        <v>2</v>
      </c>
      <c r="AT41" s="5"/>
      <c r="AU41" s="4">
        <f t="shared" si="11"/>
        <v>100</v>
      </c>
      <c r="AV41" s="5">
        <v>100</v>
      </c>
      <c r="AW41" s="4">
        <f t="shared" si="12"/>
        <v>75</v>
      </c>
      <c r="AX41" s="4">
        <f t="shared" si="13"/>
        <v>0</v>
      </c>
      <c r="AY41" s="4"/>
      <c r="AZ41" s="4" t="s">
        <v>360</v>
      </c>
      <c r="BA41" s="4" t="s">
        <v>133</v>
      </c>
      <c r="BB41" s="4" t="s">
        <v>361</v>
      </c>
    </row>
    <row r="42" spans="1:54" ht="70.05" customHeight="1" x14ac:dyDescent="0.3">
      <c r="A42" s="4" t="s">
        <v>362</v>
      </c>
      <c r="B42" s="4" t="s">
        <v>295</v>
      </c>
      <c r="C42" s="4" t="s">
        <v>363</v>
      </c>
      <c r="D42" s="4" t="s">
        <v>364</v>
      </c>
      <c r="E42" s="4" t="s">
        <v>298</v>
      </c>
      <c r="F42" s="4" t="s">
        <v>357</v>
      </c>
      <c r="G42" s="4" t="s">
        <v>93</v>
      </c>
      <c r="H42" s="4" t="s">
        <v>94</v>
      </c>
      <c r="I42" s="4" t="s">
        <v>76</v>
      </c>
      <c r="J42" s="4" t="s">
        <v>105</v>
      </c>
      <c r="K42" s="5">
        <v>7025611116</v>
      </c>
      <c r="L42" s="5">
        <v>0</v>
      </c>
      <c r="M42" s="5">
        <v>633276980</v>
      </c>
      <c r="N42" s="5">
        <v>0</v>
      </c>
      <c r="O42" s="5">
        <v>7658888096</v>
      </c>
      <c r="P42" s="5">
        <v>5025356915.3999996</v>
      </c>
      <c r="Q42" s="6">
        <v>46170</v>
      </c>
      <c r="R42" s="6">
        <v>45674</v>
      </c>
      <c r="S42" s="6">
        <v>45649</v>
      </c>
      <c r="T42" s="6">
        <v>45649</v>
      </c>
      <c r="U42" s="5">
        <v>72.7</v>
      </c>
      <c r="V42" s="5">
        <v>65.61</v>
      </c>
      <c r="W42" s="4">
        <v>1</v>
      </c>
      <c r="X42" s="4">
        <v>0.84</v>
      </c>
      <c r="Y42" s="6">
        <v>45649</v>
      </c>
      <c r="Z42" s="6"/>
      <c r="AA42" s="6">
        <v>45813</v>
      </c>
      <c r="AB42" s="6">
        <v>45813</v>
      </c>
      <c r="AC42" s="6">
        <v>45869</v>
      </c>
      <c r="AD42" s="6">
        <v>46234</v>
      </c>
      <c r="AE42" s="6"/>
      <c r="AF42" s="6"/>
      <c r="AG42" s="6"/>
      <c r="AH42" s="6">
        <v>46157</v>
      </c>
      <c r="AI42" s="4" t="s">
        <v>365</v>
      </c>
      <c r="AJ42" s="4" t="s">
        <v>366</v>
      </c>
      <c r="AK42" s="6">
        <v>46152</v>
      </c>
      <c r="AL42" s="4"/>
      <c r="AM42" s="4"/>
      <c r="AN42" s="4"/>
      <c r="AO42" s="4">
        <f t="shared" si="7"/>
        <v>100</v>
      </c>
      <c r="AP42" s="4">
        <f t="shared" si="8"/>
        <v>100</v>
      </c>
      <c r="AQ42" s="4">
        <f t="shared" si="9"/>
        <v>100</v>
      </c>
      <c r="AR42" s="4">
        <f t="shared" si="10"/>
        <v>100</v>
      </c>
      <c r="AS42" s="4">
        <v>0</v>
      </c>
      <c r="AT42" s="5"/>
      <c r="AU42" s="4">
        <f t="shared" si="11"/>
        <v>100</v>
      </c>
      <c r="AV42" s="5">
        <v>100</v>
      </c>
      <c r="AW42" s="4">
        <f t="shared" si="12"/>
        <v>100</v>
      </c>
      <c r="AX42" s="4">
        <f t="shared" si="13"/>
        <v>100</v>
      </c>
      <c r="AY42" s="4"/>
      <c r="AZ42" s="4" t="s">
        <v>367</v>
      </c>
      <c r="BA42" s="4" t="s">
        <v>68</v>
      </c>
      <c r="BB42" s="4" t="s">
        <v>368</v>
      </c>
    </row>
    <row r="43" spans="1:54" ht="70.05" customHeight="1" x14ac:dyDescent="0.3">
      <c r="A43" s="4" t="s">
        <v>369</v>
      </c>
      <c r="B43" s="4" t="s">
        <v>81</v>
      </c>
      <c r="C43" s="4" t="s">
        <v>370</v>
      </c>
      <c r="D43" s="4" t="s">
        <v>371</v>
      </c>
      <c r="E43" s="4" t="s">
        <v>153</v>
      </c>
      <c r="F43" s="4" t="s">
        <v>372</v>
      </c>
      <c r="G43" s="4" t="s">
        <v>373</v>
      </c>
      <c r="H43" s="4"/>
      <c r="I43" s="4"/>
      <c r="J43" s="4" t="s">
        <v>105</v>
      </c>
      <c r="K43" s="5">
        <v>2942601333.2800002</v>
      </c>
      <c r="L43" s="5">
        <v>0</v>
      </c>
      <c r="M43" s="5">
        <v>0</v>
      </c>
      <c r="N43" s="5">
        <v>0</v>
      </c>
      <c r="O43" s="5">
        <v>2942601333.2800002</v>
      </c>
      <c r="P43" s="5">
        <v>0</v>
      </c>
      <c r="Q43" s="6"/>
      <c r="R43" s="6">
        <v>45619</v>
      </c>
      <c r="S43" s="6">
        <v>45616</v>
      </c>
      <c r="T43" s="6">
        <v>45622</v>
      </c>
      <c r="U43" s="5">
        <v>0</v>
      </c>
      <c r="V43" s="5">
        <v>0</v>
      </c>
      <c r="W43" s="4"/>
      <c r="X43" s="4"/>
      <c r="Y43" s="6">
        <v>45615</v>
      </c>
      <c r="Z43" s="6">
        <v>46086</v>
      </c>
      <c r="AA43" s="6"/>
      <c r="AB43" s="6"/>
      <c r="AC43" s="6"/>
      <c r="AD43" s="6"/>
      <c r="AE43" s="6"/>
      <c r="AF43" s="6"/>
      <c r="AG43" s="6"/>
      <c r="AH43" s="6">
        <v>46157</v>
      </c>
      <c r="AI43" s="4" t="s">
        <v>374</v>
      </c>
      <c r="AJ43" s="4" t="s">
        <v>375</v>
      </c>
      <c r="AK43" s="6">
        <v>46152</v>
      </c>
      <c r="AL43" s="4">
        <v>542</v>
      </c>
      <c r="AM43" s="4"/>
      <c r="AN43" s="4"/>
      <c r="AO43" s="4" t="str">
        <f t="shared" si="7"/>
        <v/>
      </c>
      <c r="AP43" s="4" t="str">
        <f t="shared" si="8"/>
        <v/>
      </c>
      <c r="AQ43" s="4">
        <f t="shared" si="9"/>
        <v>100</v>
      </c>
      <c r="AR43" s="4" t="str">
        <f t="shared" si="10"/>
        <v/>
      </c>
      <c r="AS43" s="4">
        <v>0</v>
      </c>
      <c r="AT43" s="5">
        <v>0</v>
      </c>
      <c r="AU43" s="4">
        <f t="shared" si="11"/>
        <v>100</v>
      </c>
      <c r="AV43" s="5">
        <v>100</v>
      </c>
      <c r="AW43" s="4">
        <f t="shared" si="12"/>
        <v>100</v>
      </c>
      <c r="AX43" s="4" t="str">
        <f t="shared" si="13"/>
        <v/>
      </c>
      <c r="AY43" s="4"/>
      <c r="AZ43" s="4" t="s">
        <v>376</v>
      </c>
      <c r="BA43" s="4" t="s">
        <v>68</v>
      </c>
      <c r="BB43" s="4" t="s">
        <v>97</v>
      </c>
    </row>
    <row r="44" spans="1:54" ht="70.05" customHeight="1" x14ac:dyDescent="0.3">
      <c r="A44" s="4" t="s">
        <v>377</v>
      </c>
      <c r="B44" s="4" t="s">
        <v>295</v>
      </c>
      <c r="C44" s="4" t="s">
        <v>378</v>
      </c>
      <c r="D44" s="4" t="s">
        <v>379</v>
      </c>
      <c r="E44" s="4" t="s">
        <v>298</v>
      </c>
      <c r="F44" s="4" t="s">
        <v>380</v>
      </c>
      <c r="G44" s="4" t="s">
        <v>93</v>
      </c>
      <c r="H44" s="4" t="s">
        <v>250</v>
      </c>
      <c r="I44" s="4" t="s">
        <v>104</v>
      </c>
      <c r="J44" s="4" t="s">
        <v>238</v>
      </c>
      <c r="K44" s="5">
        <v>689677427</v>
      </c>
      <c r="L44" s="5">
        <v>0</v>
      </c>
      <c r="M44" s="5">
        <v>0</v>
      </c>
      <c r="N44" s="5">
        <v>0</v>
      </c>
      <c r="O44" s="5">
        <v>689677427</v>
      </c>
      <c r="P44" s="5">
        <v>492278062.80000001</v>
      </c>
      <c r="Q44" s="6">
        <v>46148</v>
      </c>
      <c r="R44" s="6">
        <v>45634</v>
      </c>
      <c r="S44" s="6">
        <v>45633</v>
      </c>
      <c r="T44" s="6">
        <v>45637</v>
      </c>
      <c r="U44" s="5">
        <v>69.33</v>
      </c>
      <c r="V44" s="5">
        <v>71.38</v>
      </c>
      <c r="W44" s="4">
        <v>0</v>
      </c>
      <c r="X44" s="4">
        <v>0</v>
      </c>
      <c r="Y44" s="6">
        <v>45632</v>
      </c>
      <c r="Z44" s="6">
        <v>45803</v>
      </c>
      <c r="AA44" s="6">
        <v>45903</v>
      </c>
      <c r="AB44" s="6">
        <v>45903</v>
      </c>
      <c r="AC44" s="6">
        <v>45911</v>
      </c>
      <c r="AD44" s="6">
        <v>46077</v>
      </c>
      <c r="AE44" s="6"/>
      <c r="AF44" s="6"/>
      <c r="AG44" s="6"/>
      <c r="AH44" s="6">
        <v>46157</v>
      </c>
      <c r="AI44" s="4" t="s">
        <v>381</v>
      </c>
      <c r="AJ44" s="4" t="s">
        <v>382</v>
      </c>
      <c r="AK44" s="6">
        <v>46152</v>
      </c>
      <c r="AL44" s="4"/>
      <c r="AM44" s="4"/>
      <c r="AN44" s="4"/>
      <c r="AO44" s="4">
        <f t="shared" si="7"/>
        <v>0</v>
      </c>
      <c r="AP44" s="4">
        <f t="shared" si="8"/>
        <v>0</v>
      </c>
      <c r="AQ44" s="4">
        <f t="shared" si="9"/>
        <v>100</v>
      </c>
      <c r="AR44" s="4">
        <f t="shared" si="10"/>
        <v>100</v>
      </c>
      <c r="AS44" s="4">
        <v>1</v>
      </c>
      <c r="AT44" s="5"/>
      <c r="AU44" s="4">
        <f t="shared" si="11"/>
        <v>100</v>
      </c>
      <c r="AV44" s="5">
        <v>100</v>
      </c>
      <c r="AW44" s="4">
        <f t="shared" si="12"/>
        <v>90</v>
      </c>
      <c r="AX44" s="4">
        <f t="shared" si="13"/>
        <v>0</v>
      </c>
      <c r="AY44" s="4"/>
      <c r="AZ44" s="4" t="s">
        <v>383</v>
      </c>
      <c r="BA44" s="4" t="s">
        <v>109</v>
      </c>
      <c r="BB44" s="4" t="s">
        <v>384</v>
      </c>
    </row>
    <row r="45" spans="1:54" ht="70.05" customHeight="1" x14ac:dyDescent="0.3">
      <c r="A45" s="4" t="s">
        <v>385</v>
      </c>
      <c r="B45" s="4" t="s">
        <v>99</v>
      </c>
      <c r="C45" s="4" t="s">
        <v>386</v>
      </c>
      <c r="D45" s="4" t="s">
        <v>387</v>
      </c>
      <c r="E45" s="4" t="s">
        <v>388</v>
      </c>
      <c r="F45" s="4" t="s">
        <v>389</v>
      </c>
      <c r="G45" s="4" t="s">
        <v>93</v>
      </c>
      <c r="H45" s="4" t="s">
        <v>94</v>
      </c>
      <c r="I45" s="4" t="s">
        <v>390</v>
      </c>
      <c r="J45" s="4" t="s">
        <v>391</v>
      </c>
      <c r="K45" s="5">
        <v>1135083847</v>
      </c>
      <c r="L45" s="5">
        <v>10000000000</v>
      </c>
      <c r="M45" s="5">
        <v>0</v>
      </c>
      <c r="N45" s="5">
        <v>0</v>
      </c>
      <c r="O45" s="5">
        <v>11135083847</v>
      </c>
      <c r="P45" s="5">
        <v>211010310</v>
      </c>
      <c r="Q45" s="6">
        <v>45939</v>
      </c>
      <c r="R45" s="6">
        <v>45639</v>
      </c>
      <c r="S45" s="6">
        <v>45638</v>
      </c>
      <c r="T45" s="6">
        <v>45649</v>
      </c>
      <c r="U45" s="5">
        <v>1.77</v>
      </c>
      <c r="V45" s="5">
        <v>1.9</v>
      </c>
      <c r="W45" s="4">
        <v>1</v>
      </c>
      <c r="X45" s="4">
        <v>0.36</v>
      </c>
      <c r="Y45" s="6">
        <v>45637</v>
      </c>
      <c r="Z45" s="6"/>
      <c r="AA45" s="6">
        <v>45856</v>
      </c>
      <c r="AB45" s="6">
        <v>45805</v>
      </c>
      <c r="AC45" s="6">
        <v>45860</v>
      </c>
      <c r="AD45" s="6">
        <v>46354</v>
      </c>
      <c r="AE45" s="6"/>
      <c r="AF45" s="6"/>
      <c r="AG45" s="6"/>
      <c r="AH45" s="6">
        <v>46157</v>
      </c>
      <c r="AI45" s="4" t="s">
        <v>392</v>
      </c>
      <c r="AJ45" s="4" t="s">
        <v>393</v>
      </c>
      <c r="AK45" s="6">
        <v>46152</v>
      </c>
      <c r="AL45" s="4"/>
      <c r="AM45" s="4"/>
      <c r="AN45" s="4"/>
      <c r="AO45" s="4">
        <f t="shared" si="7"/>
        <v>0</v>
      </c>
      <c r="AP45" s="4">
        <f t="shared" si="8"/>
        <v>100</v>
      </c>
      <c r="AQ45" s="4">
        <f t="shared" si="9"/>
        <v>100</v>
      </c>
      <c r="AR45" s="4">
        <f t="shared" si="10"/>
        <v>100</v>
      </c>
      <c r="AS45" s="4">
        <v>0</v>
      </c>
      <c r="AT45" s="5"/>
      <c r="AU45" s="4">
        <f t="shared" si="11"/>
        <v>100</v>
      </c>
      <c r="AV45" s="5">
        <v>100</v>
      </c>
      <c r="AW45" s="4">
        <f t="shared" si="12"/>
        <v>100</v>
      </c>
      <c r="AX45" s="4">
        <f t="shared" si="13"/>
        <v>60</v>
      </c>
      <c r="AY45" s="4"/>
      <c r="AZ45" s="4" t="s">
        <v>394</v>
      </c>
      <c r="BA45" s="4" t="s">
        <v>133</v>
      </c>
      <c r="BB45" s="4" t="s">
        <v>395</v>
      </c>
    </row>
    <row r="46" spans="1:54" ht="70.05" customHeight="1" x14ac:dyDescent="0.3">
      <c r="A46" s="4" t="s">
        <v>396</v>
      </c>
      <c r="B46" s="4" t="s">
        <v>99</v>
      </c>
      <c r="C46" s="4" t="s">
        <v>397</v>
      </c>
      <c r="D46" s="4" t="s">
        <v>398</v>
      </c>
      <c r="E46" s="4" t="s">
        <v>235</v>
      </c>
      <c r="F46" s="4" t="s">
        <v>399</v>
      </c>
      <c r="G46" s="4" t="s">
        <v>400</v>
      </c>
      <c r="H46" s="4" t="s">
        <v>401</v>
      </c>
      <c r="I46" s="4" t="s">
        <v>179</v>
      </c>
      <c r="J46" s="4" t="s">
        <v>402</v>
      </c>
      <c r="K46" s="5">
        <v>2439637568.0900002</v>
      </c>
      <c r="L46" s="5">
        <v>0</v>
      </c>
      <c r="M46" s="5">
        <v>0</v>
      </c>
      <c r="N46" s="5">
        <v>0</v>
      </c>
      <c r="O46" s="5">
        <v>2439637568.0900002</v>
      </c>
      <c r="P46" s="5">
        <v>0</v>
      </c>
      <c r="Q46" s="6"/>
      <c r="R46" s="6">
        <v>45658</v>
      </c>
      <c r="S46" s="6">
        <v>46017</v>
      </c>
      <c r="T46" s="6">
        <v>45653</v>
      </c>
      <c r="U46" s="5">
        <v>0</v>
      </c>
      <c r="V46" s="5">
        <v>0</v>
      </c>
      <c r="W46" s="4"/>
      <c r="X46" s="4"/>
      <c r="Y46" s="6">
        <v>45650</v>
      </c>
      <c r="Z46" s="6">
        <v>45827</v>
      </c>
      <c r="AA46" s="6">
        <v>45827</v>
      </c>
      <c r="AB46" s="6">
        <v>45827</v>
      </c>
      <c r="AC46" s="6">
        <v>45827</v>
      </c>
      <c r="AD46" s="6"/>
      <c r="AE46" s="6"/>
      <c r="AF46" s="6"/>
      <c r="AG46" s="6"/>
      <c r="AH46" s="6">
        <v>46157</v>
      </c>
      <c r="AI46" s="4" t="s">
        <v>403</v>
      </c>
      <c r="AJ46" s="4" t="s">
        <v>404</v>
      </c>
      <c r="AK46" s="6">
        <v>46152</v>
      </c>
      <c r="AL46" s="4"/>
      <c r="AM46" s="4"/>
      <c r="AN46" s="4">
        <v>330</v>
      </c>
      <c r="AO46" s="4" t="str">
        <f t="shared" si="7"/>
        <v/>
      </c>
      <c r="AP46" s="4" t="str">
        <f t="shared" si="8"/>
        <v/>
      </c>
      <c r="AQ46" s="4">
        <f t="shared" si="9"/>
        <v>100</v>
      </c>
      <c r="AR46" s="4" t="str">
        <f t="shared" si="10"/>
        <v/>
      </c>
      <c r="AS46" s="4">
        <v>0</v>
      </c>
      <c r="AT46" s="5"/>
      <c r="AU46" s="4">
        <f t="shared" si="11"/>
        <v>100</v>
      </c>
      <c r="AV46" s="5">
        <v>0</v>
      </c>
      <c r="AW46" s="4">
        <f t="shared" si="12"/>
        <v>100</v>
      </c>
      <c r="AX46" s="4">
        <f t="shared" si="13"/>
        <v>0</v>
      </c>
      <c r="AY46" s="4"/>
      <c r="AZ46" s="4" t="s">
        <v>405</v>
      </c>
      <c r="BA46" s="4" t="s">
        <v>133</v>
      </c>
      <c r="BB46" s="4" t="s">
        <v>69</v>
      </c>
    </row>
    <row r="47" spans="1:54" ht="70.05" customHeight="1" x14ac:dyDescent="0.3">
      <c r="A47" s="4" t="s">
        <v>406</v>
      </c>
      <c r="B47" s="4" t="s">
        <v>81</v>
      </c>
      <c r="C47" s="4" t="s">
        <v>407</v>
      </c>
      <c r="D47" s="4" t="s">
        <v>408</v>
      </c>
      <c r="E47" s="4" t="s">
        <v>153</v>
      </c>
      <c r="F47" s="4" t="s">
        <v>409</v>
      </c>
      <c r="G47" s="4" t="s">
        <v>93</v>
      </c>
      <c r="H47" s="4" t="s">
        <v>94</v>
      </c>
      <c r="I47" s="4" t="s">
        <v>390</v>
      </c>
      <c r="J47" s="4" t="s">
        <v>105</v>
      </c>
      <c r="K47" s="5">
        <v>2653691597.3099999</v>
      </c>
      <c r="L47" s="5">
        <v>0</v>
      </c>
      <c r="M47" s="5">
        <v>929670814</v>
      </c>
      <c r="N47" s="5">
        <v>0</v>
      </c>
      <c r="O47" s="5">
        <v>3583362411.3099999</v>
      </c>
      <c r="P47" s="5">
        <v>2252913673.25</v>
      </c>
      <c r="Q47" s="6">
        <v>46164</v>
      </c>
      <c r="R47" s="6">
        <v>45658</v>
      </c>
      <c r="S47" s="6">
        <v>45652</v>
      </c>
      <c r="T47" s="6">
        <v>45653</v>
      </c>
      <c r="U47" s="5">
        <v>80.790000000000006</v>
      </c>
      <c r="V47" s="5">
        <v>80.27</v>
      </c>
      <c r="W47" s="4">
        <v>1</v>
      </c>
      <c r="X47" s="4">
        <v>0.82</v>
      </c>
      <c r="Y47" s="6">
        <v>45650</v>
      </c>
      <c r="Z47" s="6">
        <v>45798</v>
      </c>
      <c r="AA47" s="6">
        <v>45805</v>
      </c>
      <c r="AB47" s="6">
        <v>45805</v>
      </c>
      <c r="AC47" s="6">
        <v>45960</v>
      </c>
      <c r="AD47" s="6">
        <v>46139</v>
      </c>
      <c r="AE47" s="6"/>
      <c r="AF47" s="6"/>
      <c r="AG47" s="6"/>
      <c r="AH47" s="6">
        <v>46157</v>
      </c>
      <c r="AI47" s="4" t="s">
        <v>410</v>
      </c>
      <c r="AJ47" s="4" t="s">
        <v>411</v>
      </c>
      <c r="AK47" s="6">
        <v>46152</v>
      </c>
      <c r="AL47" s="4"/>
      <c r="AM47" s="4"/>
      <c r="AN47" s="4"/>
      <c r="AO47" s="4">
        <f t="shared" si="7"/>
        <v>95.65217391304347</v>
      </c>
      <c r="AP47" s="4">
        <f t="shared" si="8"/>
        <v>100</v>
      </c>
      <c r="AQ47" s="4">
        <f t="shared" si="9"/>
        <v>100</v>
      </c>
      <c r="AR47" s="4">
        <f t="shared" si="10"/>
        <v>100</v>
      </c>
      <c r="AS47" s="4">
        <v>1</v>
      </c>
      <c r="AT47" s="5"/>
      <c r="AU47" s="4">
        <f t="shared" si="11"/>
        <v>100</v>
      </c>
      <c r="AV47" s="5">
        <v>100</v>
      </c>
      <c r="AW47" s="4">
        <f t="shared" si="12"/>
        <v>90</v>
      </c>
      <c r="AX47" s="4">
        <f t="shared" si="13"/>
        <v>0</v>
      </c>
      <c r="AY47" s="4"/>
      <c r="AZ47" s="4" t="s">
        <v>412</v>
      </c>
      <c r="BA47" s="4" t="s">
        <v>133</v>
      </c>
      <c r="BB47" s="4" t="s">
        <v>97</v>
      </c>
    </row>
    <row r="48" spans="1:54" ht="70.05" customHeight="1" x14ac:dyDescent="0.3">
      <c r="A48" s="4" t="s">
        <v>413</v>
      </c>
      <c r="B48" s="4" t="s">
        <v>295</v>
      </c>
      <c r="C48" s="4" t="s">
        <v>414</v>
      </c>
      <c r="D48" s="4" t="s">
        <v>1011</v>
      </c>
      <c r="E48" s="4" t="s">
        <v>298</v>
      </c>
      <c r="F48" s="4" t="s">
        <v>415</v>
      </c>
      <c r="G48" s="4" t="s">
        <v>373</v>
      </c>
      <c r="H48" s="4"/>
      <c r="I48" s="4"/>
      <c r="J48" s="4" t="s">
        <v>416</v>
      </c>
      <c r="K48" s="5">
        <v>1361249394</v>
      </c>
      <c r="L48" s="5">
        <v>0</v>
      </c>
      <c r="M48" s="5">
        <v>0</v>
      </c>
      <c r="N48" s="5">
        <v>0</v>
      </c>
      <c r="O48" s="5">
        <v>1361249394</v>
      </c>
      <c r="P48" s="5">
        <v>0</v>
      </c>
      <c r="Q48" s="6"/>
      <c r="R48" s="6">
        <v>46165</v>
      </c>
      <c r="S48" s="6">
        <v>46167</v>
      </c>
      <c r="T48" s="6">
        <v>46166</v>
      </c>
      <c r="U48" s="5">
        <v>0</v>
      </c>
      <c r="V48" s="5">
        <v>0</v>
      </c>
      <c r="W48" s="4"/>
      <c r="X48" s="4"/>
      <c r="Y48" s="6">
        <v>46121</v>
      </c>
      <c r="Z48" s="6"/>
      <c r="AA48" s="6"/>
      <c r="AB48" s="6"/>
      <c r="AC48" s="6"/>
      <c r="AD48" s="6"/>
      <c r="AE48" s="6"/>
      <c r="AF48" s="6"/>
      <c r="AG48" s="6"/>
      <c r="AH48" s="6">
        <v>46157</v>
      </c>
      <c r="AI48" s="4"/>
      <c r="AJ48" s="4"/>
      <c r="AK48" s="6"/>
      <c r="AL48" s="4">
        <v>36</v>
      </c>
      <c r="AM48" s="4"/>
      <c r="AN48" s="4"/>
      <c r="AO48" s="4" t="str">
        <f t="shared" si="7"/>
        <v/>
      </c>
      <c r="AP48" s="4" t="str">
        <f t="shared" si="8"/>
        <v/>
      </c>
      <c r="AQ48" s="4">
        <f t="shared" si="9"/>
        <v>100</v>
      </c>
      <c r="AR48" s="4" t="str">
        <f t="shared" si="10"/>
        <v/>
      </c>
      <c r="AS48" s="4"/>
      <c r="AT48" s="5">
        <v>100</v>
      </c>
      <c r="AU48" s="4" t="str">
        <f t="shared" si="11"/>
        <v/>
      </c>
      <c r="AV48" s="5"/>
      <c r="AW48" s="4">
        <f t="shared" si="12"/>
        <v>100</v>
      </c>
      <c r="AX48" s="4" t="str">
        <f t="shared" si="13"/>
        <v/>
      </c>
      <c r="AY48" s="4"/>
      <c r="AZ48" s="4" t="s">
        <v>417</v>
      </c>
      <c r="BA48" s="4" t="s">
        <v>68</v>
      </c>
      <c r="BB48" s="4" t="s">
        <v>285</v>
      </c>
    </row>
    <row r="49" spans="1:54" ht="70.05" customHeight="1" x14ac:dyDescent="0.3">
      <c r="A49" s="4" t="s">
        <v>418</v>
      </c>
      <c r="B49" s="4" t="s">
        <v>99</v>
      </c>
      <c r="C49" s="4" t="s">
        <v>419</v>
      </c>
      <c r="D49" s="4" t="s">
        <v>420</v>
      </c>
      <c r="E49" s="4" t="s">
        <v>102</v>
      </c>
      <c r="F49" s="4" t="s">
        <v>421</v>
      </c>
      <c r="G49" s="4" t="s">
        <v>373</v>
      </c>
      <c r="H49" s="4"/>
      <c r="I49" s="4"/>
      <c r="J49" s="4" t="s">
        <v>186</v>
      </c>
      <c r="K49" s="5">
        <v>39069417997</v>
      </c>
      <c r="L49" s="5">
        <v>0</v>
      </c>
      <c r="M49" s="5">
        <v>0</v>
      </c>
      <c r="N49" s="5">
        <v>0</v>
      </c>
      <c r="O49" s="5">
        <v>39069417997</v>
      </c>
      <c r="P49" s="5">
        <v>0</v>
      </c>
      <c r="Q49" s="6"/>
      <c r="R49" s="6"/>
      <c r="S49" s="6">
        <v>46094</v>
      </c>
      <c r="T49" s="6">
        <v>46125</v>
      </c>
      <c r="U49" s="5">
        <v>0</v>
      </c>
      <c r="V49" s="5">
        <v>0</v>
      </c>
      <c r="W49" s="4"/>
      <c r="X49" s="4"/>
      <c r="Y49" s="6">
        <v>46093</v>
      </c>
      <c r="Z49" s="6"/>
      <c r="AA49" s="6"/>
      <c r="AB49" s="6"/>
      <c r="AC49" s="6"/>
      <c r="AD49" s="6"/>
      <c r="AE49" s="6"/>
      <c r="AF49" s="6"/>
      <c r="AG49" s="6"/>
      <c r="AH49" s="6">
        <v>46157</v>
      </c>
      <c r="AI49" s="4" t="s">
        <v>422</v>
      </c>
      <c r="AJ49" s="4" t="s">
        <v>423</v>
      </c>
      <c r="AK49" s="6">
        <v>46152</v>
      </c>
      <c r="AL49" s="4">
        <v>64</v>
      </c>
      <c r="AM49" s="4"/>
      <c r="AN49" s="4"/>
      <c r="AO49" s="4" t="str">
        <f t="shared" si="7"/>
        <v/>
      </c>
      <c r="AP49" s="4" t="str">
        <f t="shared" si="8"/>
        <v/>
      </c>
      <c r="AQ49" s="4">
        <f t="shared" si="9"/>
        <v>100</v>
      </c>
      <c r="AR49" s="4" t="str">
        <f t="shared" si="10"/>
        <v/>
      </c>
      <c r="AS49" s="4"/>
      <c r="AT49" s="5">
        <v>100</v>
      </c>
      <c r="AU49" s="4">
        <f t="shared" si="11"/>
        <v>100</v>
      </c>
      <c r="AV49" s="5">
        <v>100</v>
      </c>
      <c r="AW49" s="4">
        <f t="shared" si="12"/>
        <v>100</v>
      </c>
      <c r="AX49" s="4" t="str">
        <f t="shared" si="13"/>
        <v/>
      </c>
      <c r="AY49" s="4"/>
      <c r="AZ49" s="4" t="s">
        <v>424</v>
      </c>
      <c r="BA49" s="4" t="s">
        <v>79</v>
      </c>
      <c r="BB49" s="4" t="s">
        <v>425</v>
      </c>
    </row>
    <row r="50" spans="1:54" ht="70.05" customHeight="1" x14ac:dyDescent="0.3">
      <c r="A50" s="4" t="s">
        <v>426</v>
      </c>
      <c r="B50" s="4" t="s">
        <v>89</v>
      </c>
      <c r="C50" s="4" t="s">
        <v>427</v>
      </c>
      <c r="D50" s="4" t="s">
        <v>428</v>
      </c>
      <c r="E50" s="4" t="s">
        <v>314</v>
      </c>
      <c r="F50" s="4" t="s">
        <v>429</v>
      </c>
      <c r="G50" s="4" t="s">
        <v>61</v>
      </c>
      <c r="H50" s="4" t="s">
        <v>62</v>
      </c>
      <c r="I50" s="4" t="s">
        <v>179</v>
      </c>
      <c r="J50" s="4" t="s">
        <v>430</v>
      </c>
      <c r="K50" s="5">
        <v>15884181916</v>
      </c>
      <c r="L50" s="5">
        <v>0</v>
      </c>
      <c r="M50" s="5">
        <v>0</v>
      </c>
      <c r="N50" s="5">
        <v>0</v>
      </c>
      <c r="O50" s="5">
        <v>15884181916</v>
      </c>
      <c r="P50" s="5">
        <v>6484823040.0600004</v>
      </c>
      <c r="Q50" s="6">
        <v>46017</v>
      </c>
      <c r="R50" s="6">
        <v>45893</v>
      </c>
      <c r="S50" s="6">
        <v>45889</v>
      </c>
      <c r="T50" s="6">
        <v>45903</v>
      </c>
      <c r="U50" s="5">
        <v>40.31</v>
      </c>
      <c r="V50" s="5">
        <v>40.83</v>
      </c>
      <c r="W50" s="4"/>
      <c r="X50" s="4"/>
      <c r="Y50" s="6">
        <v>45888</v>
      </c>
      <c r="Z50" s="6">
        <v>45905</v>
      </c>
      <c r="AA50" s="6">
        <v>45929</v>
      </c>
      <c r="AB50" s="6">
        <v>45922</v>
      </c>
      <c r="AC50" s="6">
        <v>45930</v>
      </c>
      <c r="AD50" s="6">
        <v>46021</v>
      </c>
      <c r="AE50" s="6"/>
      <c r="AF50" s="6">
        <v>46021</v>
      </c>
      <c r="AG50" s="6"/>
      <c r="AH50" s="6">
        <v>46157</v>
      </c>
      <c r="AI50" s="4" t="s">
        <v>431</v>
      </c>
      <c r="AJ50" s="4" t="s">
        <v>66</v>
      </c>
      <c r="AK50" s="6">
        <v>46157</v>
      </c>
      <c r="AL50" s="4"/>
      <c r="AM50" s="4"/>
      <c r="AN50" s="4"/>
      <c r="AO50" s="4" t="str">
        <f t="shared" si="7"/>
        <v/>
      </c>
      <c r="AP50" s="4" t="str">
        <f t="shared" si="8"/>
        <v/>
      </c>
      <c r="AQ50" s="4">
        <f t="shared" si="9"/>
        <v>100</v>
      </c>
      <c r="AR50" s="4">
        <f t="shared" si="10"/>
        <v>100</v>
      </c>
      <c r="AS50" s="4">
        <v>0</v>
      </c>
      <c r="AT50" s="5"/>
      <c r="AU50" s="4">
        <f t="shared" si="11"/>
        <v>0</v>
      </c>
      <c r="AV50" s="5">
        <v>0</v>
      </c>
      <c r="AW50" s="4">
        <f t="shared" si="12"/>
        <v>100</v>
      </c>
      <c r="AX50" s="4" t="str">
        <f t="shared" si="13"/>
        <v/>
      </c>
      <c r="AY50" s="4"/>
      <c r="AZ50" s="4" t="s">
        <v>432</v>
      </c>
      <c r="BA50" s="4" t="s">
        <v>79</v>
      </c>
      <c r="BB50" s="4" t="s">
        <v>97</v>
      </c>
    </row>
    <row r="51" spans="1:54" ht="70.05" customHeight="1" x14ac:dyDescent="0.3">
      <c r="A51" s="4" t="s">
        <v>433</v>
      </c>
      <c r="B51" s="4" t="s">
        <v>99</v>
      </c>
      <c r="C51" s="4" t="s">
        <v>434</v>
      </c>
      <c r="D51" s="4" t="s">
        <v>435</v>
      </c>
      <c r="E51" s="4" t="s">
        <v>102</v>
      </c>
      <c r="F51" s="4" t="s">
        <v>436</v>
      </c>
      <c r="G51" s="4" t="s">
        <v>93</v>
      </c>
      <c r="H51" s="4" t="s">
        <v>94</v>
      </c>
      <c r="I51" s="4" t="s">
        <v>390</v>
      </c>
      <c r="J51" s="4" t="s">
        <v>186</v>
      </c>
      <c r="K51" s="5">
        <v>79715601771.679993</v>
      </c>
      <c r="L51" s="5">
        <v>0</v>
      </c>
      <c r="M51" s="5">
        <v>0</v>
      </c>
      <c r="N51" s="5">
        <v>0</v>
      </c>
      <c r="O51" s="5">
        <v>79715601771.679993</v>
      </c>
      <c r="P51" s="5">
        <v>27947699210.400002</v>
      </c>
      <c r="Q51" s="6">
        <v>46149</v>
      </c>
      <c r="R51" s="6">
        <v>45939</v>
      </c>
      <c r="S51" s="6">
        <v>45934</v>
      </c>
      <c r="T51" s="6">
        <v>45961</v>
      </c>
      <c r="U51" s="5">
        <v>12.38</v>
      </c>
      <c r="V51" s="5">
        <v>35.06</v>
      </c>
      <c r="W51" s="4">
        <v>1</v>
      </c>
      <c r="X51" s="4">
        <v>3.47</v>
      </c>
      <c r="Y51" s="6">
        <v>45933</v>
      </c>
      <c r="Z51" s="6"/>
      <c r="AA51" s="6">
        <v>46058</v>
      </c>
      <c r="AB51" s="6">
        <v>46009</v>
      </c>
      <c r="AC51" s="6">
        <v>46064</v>
      </c>
      <c r="AD51" s="6">
        <v>46798</v>
      </c>
      <c r="AE51" s="6"/>
      <c r="AF51" s="6"/>
      <c r="AG51" s="6"/>
      <c r="AH51" s="6">
        <v>46157</v>
      </c>
      <c r="AI51" s="4" t="s">
        <v>437</v>
      </c>
      <c r="AJ51" s="4" t="s">
        <v>438</v>
      </c>
      <c r="AK51" s="6">
        <v>46152</v>
      </c>
      <c r="AL51" s="4"/>
      <c r="AM51" s="4"/>
      <c r="AN51" s="4"/>
      <c r="AO51" s="4">
        <f t="shared" si="7"/>
        <v>0</v>
      </c>
      <c r="AP51" s="4">
        <f t="shared" si="8"/>
        <v>100</v>
      </c>
      <c r="AQ51" s="4">
        <f t="shared" si="9"/>
        <v>100</v>
      </c>
      <c r="AR51" s="4">
        <f t="shared" si="10"/>
        <v>100</v>
      </c>
      <c r="AS51" s="4">
        <v>0</v>
      </c>
      <c r="AT51" s="5"/>
      <c r="AU51" s="4">
        <f t="shared" si="11"/>
        <v>100</v>
      </c>
      <c r="AV51" s="5">
        <v>100</v>
      </c>
      <c r="AW51" s="4">
        <f t="shared" si="12"/>
        <v>100</v>
      </c>
      <c r="AX51" s="4">
        <f t="shared" si="13"/>
        <v>60</v>
      </c>
      <c r="AY51" s="4"/>
      <c r="AZ51" s="4" t="s">
        <v>439</v>
      </c>
      <c r="BA51" s="4" t="s">
        <v>440</v>
      </c>
      <c r="BB51" s="4" t="s">
        <v>441</v>
      </c>
    </row>
    <row r="52" spans="1:54" ht="70.05" customHeight="1" x14ac:dyDescent="0.3">
      <c r="A52" s="4" t="s">
        <v>442</v>
      </c>
      <c r="B52" s="4" t="s">
        <v>99</v>
      </c>
      <c r="C52" s="4" t="s">
        <v>443</v>
      </c>
      <c r="D52" s="4" t="s">
        <v>444</v>
      </c>
      <c r="E52" s="4" t="s">
        <v>307</v>
      </c>
      <c r="F52" s="4" t="s">
        <v>349</v>
      </c>
      <c r="G52" s="4" t="s">
        <v>93</v>
      </c>
      <c r="H52" s="4" t="s">
        <v>94</v>
      </c>
      <c r="I52" s="4" t="s">
        <v>63</v>
      </c>
      <c r="J52" s="4" t="s">
        <v>105</v>
      </c>
      <c r="K52" s="5">
        <v>1000000435</v>
      </c>
      <c r="L52" s="5">
        <v>0</v>
      </c>
      <c r="M52" s="5">
        <v>0</v>
      </c>
      <c r="N52" s="5">
        <v>0</v>
      </c>
      <c r="O52" s="5">
        <v>1000000435</v>
      </c>
      <c r="P52" s="5">
        <v>414380180.25999999</v>
      </c>
      <c r="Q52" s="6">
        <v>46170</v>
      </c>
      <c r="R52" s="6">
        <v>45918</v>
      </c>
      <c r="S52" s="6">
        <v>45918</v>
      </c>
      <c r="T52" s="6">
        <v>45918</v>
      </c>
      <c r="U52" s="5">
        <v>70.739999999999995</v>
      </c>
      <c r="V52" s="5">
        <v>41.44</v>
      </c>
      <c r="W52" s="4">
        <v>1</v>
      </c>
      <c r="X52" s="4">
        <v>0.87</v>
      </c>
      <c r="Y52" s="6">
        <v>45912</v>
      </c>
      <c r="Z52" s="6">
        <v>45981</v>
      </c>
      <c r="AA52" s="6">
        <v>46008</v>
      </c>
      <c r="AB52" s="6">
        <v>46008</v>
      </c>
      <c r="AC52" s="6">
        <v>46009</v>
      </c>
      <c r="AD52" s="6">
        <v>46191</v>
      </c>
      <c r="AE52" s="6"/>
      <c r="AF52" s="6"/>
      <c r="AG52" s="6"/>
      <c r="AH52" s="6">
        <v>46157</v>
      </c>
      <c r="AI52" s="4" t="s">
        <v>445</v>
      </c>
      <c r="AJ52" s="4" t="s">
        <v>393</v>
      </c>
      <c r="AK52" s="6">
        <v>46152</v>
      </c>
      <c r="AL52" s="4"/>
      <c r="AM52" s="4"/>
      <c r="AN52" s="4"/>
      <c r="AO52" s="4">
        <f t="shared" si="7"/>
        <v>100</v>
      </c>
      <c r="AP52" s="4">
        <f t="shared" si="8"/>
        <v>100</v>
      </c>
      <c r="AQ52" s="4">
        <f t="shared" si="9"/>
        <v>100</v>
      </c>
      <c r="AR52" s="4">
        <f t="shared" si="10"/>
        <v>100</v>
      </c>
      <c r="AS52" s="4">
        <v>0</v>
      </c>
      <c r="AT52" s="5"/>
      <c r="AU52" s="4">
        <f t="shared" si="11"/>
        <v>100</v>
      </c>
      <c r="AV52" s="5">
        <v>100</v>
      </c>
      <c r="AW52" s="4">
        <f t="shared" si="12"/>
        <v>100</v>
      </c>
      <c r="AX52" s="4">
        <f t="shared" si="13"/>
        <v>100</v>
      </c>
      <c r="AY52" s="4"/>
      <c r="AZ52" s="4" t="s">
        <v>439</v>
      </c>
      <c r="BA52" s="4" t="s">
        <v>440</v>
      </c>
      <c r="BB52" s="4" t="s">
        <v>97</v>
      </c>
    </row>
    <row r="53" spans="1:54" ht="70.05" customHeight="1" x14ac:dyDescent="0.3">
      <c r="A53" s="4" t="s">
        <v>446</v>
      </c>
      <c r="B53" s="4" t="s">
        <v>99</v>
      </c>
      <c r="C53" s="4" t="s">
        <v>447</v>
      </c>
      <c r="D53" s="4" t="s">
        <v>448</v>
      </c>
      <c r="E53" s="4" t="s">
        <v>314</v>
      </c>
      <c r="F53" s="4" t="s">
        <v>449</v>
      </c>
      <c r="G53" s="4" t="s">
        <v>400</v>
      </c>
      <c r="H53" s="4" t="s">
        <v>401</v>
      </c>
      <c r="I53" s="4" t="s">
        <v>390</v>
      </c>
      <c r="J53" s="4" t="s">
        <v>336</v>
      </c>
      <c r="K53" s="5">
        <v>910271851.27999997</v>
      </c>
      <c r="L53" s="5">
        <v>0</v>
      </c>
      <c r="M53" s="5">
        <v>0</v>
      </c>
      <c r="N53" s="5">
        <v>0</v>
      </c>
      <c r="O53" s="5">
        <v>910271851.27999997</v>
      </c>
      <c r="P53" s="5">
        <v>0</v>
      </c>
      <c r="Q53" s="6"/>
      <c r="R53" s="6">
        <v>46002</v>
      </c>
      <c r="S53" s="6">
        <v>46009</v>
      </c>
      <c r="T53" s="6">
        <v>46009</v>
      </c>
      <c r="U53" s="5">
        <v>0</v>
      </c>
      <c r="V53" s="5">
        <v>0</v>
      </c>
      <c r="W53" s="4"/>
      <c r="X53" s="4"/>
      <c r="Y53" s="6">
        <v>46000</v>
      </c>
      <c r="Z53" s="6">
        <v>46079</v>
      </c>
      <c r="AA53" s="6">
        <v>46163</v>
      </c>
      <c r="AB53" s="6">
        <v>46163</v>
      </c>
      <c r="AC53" s="6"/>
      <c r="AD53" s="6"/>
      <c r="AE53" s="6"/>
      <c r="AF53" s="6"/>
      <c r="AG53" s="6"/>
      <c r="AH53" s="6">
        <v>46163</v>
      </c>
      <c r="AI53" s="4" t="s">
        <v>450</v>
      </c>
      <c r="AJ53" s="4" t="s">
        <v>451</v>
      </c>
      <c r="AK53" s="6">
        <v>46152</v>
      </c>
      <c r="AL53" s="4"/>
      <c r="AM53" s="4"/>
      <c r="AN53" s="4">
        <v>0</v>
      </c>
      <c r="AO53" s="4" t="str">
        <f t="shared" si="7"/>
        <v/>
      </c>
      <c r="AP53" s="4" t="str">
        <f t="shared" si="8"/>
        <v/>
      </c>
      <c r="AQ53" s="4">
        <f t="shared" si="9"/>
        <v>100</v>
      </c>
      <c r="AR53" s="4" t="str">
        <f t="shared" si="10"/>
        <v/>
      </c>
      <c r="AS53" s="4">
        <v>0</v>
      </c>
      <c r="AT53" s="5"/>
      <c r="AU53" s="4">
        <f t="shared" si="11"/>
        <v>100</v>
      </c>
      <c r="AV53" s="5">
        <v>100</v>
      </c>
      <c r="AW53" s="4">
        <f t="shared" si="12"/>
        <v>100</v>
      </c>
      <c r="AX53" s="4">
        <f t="shared" si="13"/>
        <v>100</v>
      </c>
      <c r="AY53" s="4"/>
      <c r="AZ53" s="4" t="s">
        <v>452</v>
      </c>
      <c r="BA53" s="4" t="s">
        <v>440</v>
      </c>
      <c r="BB53" s="4" t="s">
        <v>285</v>
      </c>
    </row>
    <row r="54" spans="1:54" ht="70.05" customHeight="1" x14ac:dyDescent="0.3">
      <c r="A54" s="4" t="s">
        <v>453</v>
      </c>
      <c r="B54" s="4" t="s">
        <v>99</v>
      </c>
      <c r="C54" s="4" t="s">
        <v>454</v>
      </c>
      <c r="D54" s="4" t="s">
        <v>455</v>
      </c>
      <c r="E54" s="4" t="s">
        <v>102</v>
      </c>
      <c r="F54" s="4" t="s">
        <v>456</v>
      </c>
      <c r="G54" s="4" t="s">
        <v>373</v>
      </c>
      <c r="H54" s="4"/>
      <c r="I54" s="4"/>
      <c r="J54" s="4" t="s">
        <v>238</v>
      </c>
      <c r="K54" s="5">
        <v>9230360486</v>
      </c>
      <c r="L54" s="5">
        <v>0</v>
      </c>
      <c r="M54" s="5">
        <v>0</v>
      </c>
      <c r="N54" s="5">
        <v>0</v>
      </c>
      <c r="O54" s="5">
        <v>9230360486</v>
      </c>
      <c r="P54" s="5">
        <v>0</v>
      </c>
      <c r="Q54" s="6"/>
      <c r="R54" s="6"/>
      <c r="S54" s="6">
        <v>46083</v>
      </c>
      <c r="T54" s="6">
        <v>46084</v>
      </c>
      <c r="U54" s="5">
        <v>0</v>
      </c>
      <c r="V54" s="5">
        <v>0</v>
      </c>
      <c r="W54" s="4"/>
      <c r="X54" s="4"/>
      <c r="Y54" s="6">
        <v>46080</v>
      </c>
      <c r="Z54" s="6"/>
      <c r="AA54" s="6"/>
      <c r="AB54" s="6"/>
      <c r="AC54" s="6"/>
      <c r="AD54" s="6"/>
      <c r="AE54" s="6"/>
      <c r="AF54" s="6"/>
      <c r="AG54" s="6"/>
      <c r="AH54" s="6">
        <v>46157</v>
      </c>
      <c r="AI54" s="4" t="s">
        <v>457</v>
      </c>
      <c r="AJ54" s="4" t="s">
        <v>458</v>
      </c>
      <c r="AK54" s="6">
        <v>46152</v>
      </c>
      <c r="AL54" s="4">
        <v>77</v>
      </c>
      <c r="AM54" s="4"/>
      <c r="AN54" s="4"/>
      <c r="AO54" s="4" t="str">
        <f t="shared" si="7"/>
        <v/>
      </c>
      <c r="AP54" s="4" t="str">
        <f t="shared" si="8"/>
        <v/>
      </c>
      <c r="AQ54" s="4">
        <f t="shared" si="9"/>
        <v>100</v>
      </c>
      <c r="AR54" s="4" t="str">
        <f t="shared" si="10"/>
        <v/>
      </c>
      <c r="AS54" s="4">
        <v>0</v>
      </c>
      <c r="AT54" s="5">
        <v>100</v>
      </c>
      <c r="AU54" s="4">
        <f t="shared" si="11"/>
        <v>100</v>
      </c>
      <c r="AV54" s="5">
        <v>100</v>
      </c>
      <c r="AW54" s="4">
        <f t="shared" si="12"/>
        <v>100</v>
      </c>
      <c r="AX54" s="4" t="str">
        <f t="shared" si="13"/>
        <v/>
      </c>
      <c r="AY54" s="4"/>
      <c r="AZ54" s="4" t="s">
        <v>459</v>
      </c>
      <c r="BA54" s="4" t="s">
        <v>79</v>
      </c>
      <c r="BB54" s="4" t="s">
        <v>460</v>
      </c>
    </row>
    <row r="55" spans="1:54" ht="70.05" customHeight="1" x14ac:dyDescent="0.3">
      <c r="A55" s="4" t="s">
        <v>461</v>
      </c>
      <c r="B55" s="4" t="s">
        <v>295</v>
      </c>
      <c r="C55" s="4" t="s">
        <v>462</v>
      </c>
      <c r="D55" s="4" t="s">
        <v>463</v>
      </c>
      <c r="E55" s="4" t="s">
        <v>298</v>
      </c>
      <c r="F55" s="4" t="s">
        <v>464</v>
      </c>
      <c r="G55" s="4" t="s">
        <v>93</v>
      </c>
      <c r="H55" s="4" t="s">
        <v>94</v>
      </c>
      <c r="I55" s="4" t="s">
        <v>63</v>
      </c>
      <c r="J55" s="4" t="s">
        <v>105</v>
      </c>
      <c r="K55" s="5">
        <v>1265672010</v>
      </c>
      <c r="L55" s="5">
        <v>0</v>
      </c>
      <c r="M55" s="5">
        <v>0</v>
      </c>
      <c r="N55" s="5">
        <v>0</v>
      </c>
      <c r="O55" s="5">
        <v>1265672010</v>
      </c>
      <c r="P55" s="5">
        <v>0</v>
      </c>
      <c r="Q55" s="6"/>
      <c r="R55" s="6">
        <v>45973</v>
      </c>
      <c r="S55" s="6">
        <v>45979</v>
      </c>
      <c r="T55" s="6">
        <v>45975</v>
      </c>
      <c r="U55" s="5">
        <v>2.83</v>
      </c>
      <c r="V55" s="5">
        <v>0</v>
      </c>
      <c r="W55" s="4">
        <v>1</v>
      </c>
      <c r="X55" s="4">
        <v>1</v>
      </c>
      <c r="Y55" s="6">
        <v>45967</v>
      </c>
      <c r="Z55" s="6">
        <v>46076</v>
      </c>
      <c r="AA55" s="6">
        <v>46094</v>
      </c>
      <c r="AB55" s="6">
        <v>46094</v>
      </c>
      <c r="AC55" s="6">
        <v>46139</v>
      </c>
      <c r="AD55" s="6">
        <v>46199</v>
      </c>
      <c r="AE55" s="6"/>
      <c r="AF55" s="6"/>
      <c r="AG55" s="6"/>
      <c r="AH55" s="6">
        <v>46157</v>
      </c>
      <c r="AI55" s="4" t="s">
        <v>465</v>
      </c>
      <c r="AJ55" s="4" t="s">
        <v>466</v>
      </c>
      <c r="AK55" s="6">
        <v>46152</v>
      </c>
      <c r="AL55" s="4"/>
      <c r="AM55" s="4"/>
      <c r="AN55" s="4"/>
      <c r="AO55" s="4">
        <f t="shared" si="7"/>
        <v>100</v>
      </c>
      <c r="AP55" s="4">
        <f t="shared" si="8"/>
        <v>100</v>
      </c>
      <c r="AQ55" s="4">
        <f t="shared" si="9"/>
        <v>100</v>
      </c>
      <c r="AR55" s="4">
        <f t="shared" si="10"/>
        <v>100</v>
      </c>
      <c r="AS55" s="4">
        <v>0</v>
      </c>
      <c r="AT55" s="5"/>
      <c r="AU55" s="4">
        <f t="shared" si="11"/>
        <v>100</v>
      </c>
      <c r="AV55" s="5">
        <v>100</v>
      </c>
      <c r="AW55" s="4">
        <f t="shared" si="12"/>
        <v>100</v>
      </c>
      <c r="AX55" s="4">
        <f t="shared" si="13"/>
        <v>100</v>
      </c>
      <c r="AY55" s="4"/>
      <c r="AZ55" s="4" t="s">
        <v>467</v>
      </c>
      <c r="BA55" s="4" t="s">
        <v>440</v>
      </c>
      <c r="BB55" s="4" t="s">
        <v>468</v>
      </c>
    </row>
    <row r="56" spans="1:54" ht="70.05" customHeight="1" x14ac:dyDescent="0.3">
      <c r="A56" s="4" t="s">
        <v>469</v>
      </c>
      <c r="B56" s="4" t="s">
        <v>295</v>
      </c>
      <c r="C56" s="4" t="s">
        <v>470</v>
      </c>
      <c r="D56" s="4" t="s">
        <v>471</v>
      </c>
      <c r="E56" s="4" t="s">
        <v>298</v>
      </c>
      <c r="F56" s="4" t="s">
        <v>472</v>
      </c>
      <c r="G56" s="4" t="s">
        <v>400</v>
      </c>
      <c r="H56" s="4" t="s">
        <v>401</v>
      </c>
      <c r="I56" s="4" t="s">
        <v>390</v>
      </c>
      <c r="J56" s="4" t="s">
        <v>473</v>
      </c>
      <c r="K56" s="5">
        <v>1631281390</v>
      </c>
      <c r="L56" s="5">
        <v>0</v>
      </c>
      <c r="M56" s="5">
        <v>41120776</v>
      </c>
      <c r="N56" s="5">
        <v>0</v>
      </c>
      <c r="O56" s="5">
        <v>1672402166</v>
      </c>
      <c r="P56" s="5">
        <v>0</v>
      </c>
      <c r="Q56" s="6"/>
      <c r="R56" s="6">
        <v>45971</v>
      </c>
      <c r="S56" s="6">
        <v>46009</v>
      </c>
      <c r="T56" s="6">
        <v>45975</v>
      </c>
      <c r="U56" s="5">
        <v>0</v>
      </c>
      <c r="V56" s="5">
        <v>0</v>
      </c>
      <c r="W56" s="4"/>
      <c r="X56" s="4"/>
      <c r="Y56" s="6">
        <v>45957</v>
      </c>
      <c r="Z56" s="6">
        <v>46051</v>
      </c>
      <c r="AA56" s="6">
        <v>46057</v>
      </c>
      <c r="AB56" s="6">
        <v>46057</v>
      </c>
      <c r="AC56" s="6"/>
      <c r="AD56" s="6"/>
      <c r="AE56" s="6"/>
      <c r="AF56" s="6"/>
      <c r="AG56" s="6"/>
      <c r="AH56" s="6">
        <v>46157</v>
      </c>
      <c r="AI56" s="4" t="s">
        <v>474</v>
      </c>
      <c r="AJ56" s="4" t="s">
        <v>475</v>
      </c>
      <c r="AK56" s="6">
        <v>46152</v>
      </c>
      <c r="AL56" s="4"/>
      <c r="AM56" s="4"/>
      <c r="AN56" s="4">
        <v>100</v>
      </c>
      <c r="AO56" s="4" t="str">
        <f t="shared" si="7"/>
        <v/>
      </c>
      <c r="AP56" s="4" t="str">
        <f t="shared" si="8"/>
        <v/>
      </c>
      <c r="AQ56" s="4">
        <f t="shared" si="9"/>
        <v>100</v>
      </c>
      <c r="AR56" s="4" t="str">
        <f t="shared" si="10"/>
        <v/>
      </c>
      <c r="AS56" s="4">
        <v>0</v>
      </c>
      <c r="AT56" s="5">
        <v>0</v>
      </c>
      <c r="AU56" s="4">
        <f t="shared" si="11"/>
        <v>100</v>
      </c>
      <c r="AV56" s="5">
        <v>0</v>
      </c>
      <c r="AW56" s="4">
        <f t="shared" si="12"/>
        <v>100</v>
      </c>
      <c r="AX56" s="4">
        <f t="shared" si="13"/>
        <v>0</v>
      </c>
      <c r="AY56" s="4"/>
      <c r="AZ56" s="4" t="s">
        <v>476</v>
      </c>
      <c r="BA56" s="4" t="s">
        <v>440</v>
      </c>
      <c r="BB56" s="4" t="s">
        <v>477</v>
      </c>
    </row>
    <row r="57" spans="1:54" ht="70.05" customHeight="1" x14ac:dyDescent="0.3">
      <c r="A57" s="4" t="s">
        <v>478</v>
      </c>
      <c r="B57" s="4" t="s">
        <v>99</v>
      </c>
      <c r="C57" s="4" t="s">
        <v>479</v>
      </c>
      <c r="D57" s="4" t="s">
        <v>480</v>
      </c>
      <c r="E57" s="4" t="s">
        <v>314</v>
      </c>
      <c r="F57" s="4" t="s">
        <v>481</v>
      </c>
      <c r="G57" s="4" t="s">
        <v>373</v>
      </c>
      <c r="H57" s="4"/>
      <c r="I57" s="4"/>
      <c r="J57" s="4" t="s">
        <v>482</v>
      </c>
      <c r="K57" s="5">
        <v>2998247290</v>
      </c>
      <c r="L57" s="5">
        <v>0</v>
      </c>
      <c r="M57" s="5">
        <v>0</v>
      </c>
      <c r="N57" s="5">
        <v>0</v>
      </c>
      <c r="O57" s="5">
        <v>2998247290</v>
      </c>
      <c r="P57" s="5">
        <v>0</v>
      </c>
      <c r="Q57" s="6"/>
      <c r="R57" s="6">
        <v>45985</v>
      </c>
      <c r="S57" s="6">
        <v>45983</v>
      </c>
      <c r="T57" s="6">
        <v>45995</v>
      </c>
      <c r="U57" s="5">
        <v>0</v>
      </c>
      <c r="V57" s="5">
        <v>0</v>
      </c>
      <c r="W57" s="4"/>
      <c r="X57" s="4"/>
      <c r="Y57" s="6">
        <v>45980</v>
      </c>
      <c r="Z57" s="6">
        <v>46120</v>
      </c>
      <c r="AA57" s="6"/>
      <c r="AB57" s="6"/>
      <c r="AC57" s="6"/>
      <c r="AD57" s="6"/>
      <c r="AE57" s="6"/>
      <c r="AF57" s="6"/>
      <c r="AG57" s="6"/>
      <c r="AH57" s="6">
        <v>46157</v>
      </c>
      <c r="AI57" s="4" t="s">
        <v>483</v>
      </c>
      <c r="AJ57" s="4" t="s">
        <v>484</v>
      </c>
      <c r="AK57" s="6">
        <v>46152</v>
      </c>
      <c r="AL57" s="4">
        <v>177</v>
      </c>
      <c r="AM57" s="4"/>
      <c r="AN57" s="4"/>
      <c r="AO57" s="4" t="str">
        <f t="shared" si="7"/>
        <v/>
      </c>
      <c r="AP57" s="4" t="str">
        <f t="shared" si="8"/>
        <v/>
      </c>
      <c r="AQ57" s="4">
        <f t="shared" si="9"/>
        <v>100</v>
      </c>
      <c r="AR57" s="4" t="str">
        <f t="shared" si="10"/>
        <v/>
      </c>
      <c r="AS57" s="4">
        <v>0</v>
      </c>
      <c r="AT57" s="5">
        <v>100</v>
      </c>
      <c r="AU57" s="4">
        <f t="shared" si="11"/>
        <v>100</v>
      </c>
      <c r="AV57" s="5">
        <v>100</v>
      </c>
      <c r="AW57" s="4">
        <f t="shared" si="12"/>
        <v>100</v>
      </c>
      <c r="AX57" s="4" t="str">
        <f t="shared" si="13"/>
        <v/>
      </c>
      <c r="AY57" s="4"/>
      <c r="AZ57" s="4" t="s">
        <v>485</v>
      </c>
      <c r="BA57" s="4" t="s">
        <v>440</v>
      </c>
      <c r="BB57" s="4" t="s">
        <v>486</v>
      </c>
    </row>
    <row r="58" spans="1:54" ht="70.05" customHeight="1" x14ac:dyDescent="0.3">
      <c r="A58" s="4" t="s">
        <v>487</v>
      </c>
      <c r="B58" s="4" t="s">
        <v>99</v>
      </c>
      <c r="C58" s="4" t="s">
        <v>488</v>
      </c>
      <c r="D58" s="4" t="s">
        <v>489</v>
      </c>
      <c r="E58" s="4" t="s">
        <v>235</v>
      </c>
      <c r="F58" s="4" t="s">
        <v>490</v>
      </c>
      <c r="G58" s="4" t="s">
        <v>373</v>
      </c>
      <c r="H58" s="4"/>
      <c r="I58" s="4"/>
      <c r="J58" s="4" t="s">
        <v>482</v>
      </c>
      <c r="K58" s="5">
        <v>4190286255</v>
      </c>
      <c r="L58" s="5">
        <v>0</v>
      </c>
      <c r="M58" s="5">
        <v>0</v>
      </c>
      <c r="N58" s="5">
        <v>0</v>
      </c>
      <c r="O58" s="5">
        <v>4190286255</v>
      </c>
      <c r="P58" s="5">
        <v>0</v>
      </c>
      <c r="Q58" s="6"/>
      <c r="R58" s="6"/>
      <c r="S58" s="6"/>
      <c r="T58" s="6">
        <v>46017</v>
      </c>
      <c r="U58" s="5">
        <v>0</v>
      </c>
      <c r="V58" s="5">
        <v>0</v>
      </c>
      <c r="W58" s="4"/>
      <c r="X58" s="4"/>
      <c r="Y58" s="6">
        <v>46010</v>
      </c>
      <c r="Z58" s="6">
        <v>46066</v>
      </c>
      <c r="AA58" s="6"/>
      <c r="AB58" s="6"/>
      <c r="AC58" s="6"/>
      <c r="AD58" s="6"/>
      <c r="AE58" s="6"/>
      <c r="AF58" s="6"/>
      <c r="AG58" s="6"/>
      <c r="AH58" s="6">
        <v>46157</v>
      </c>
      <c r="AI58" s="4" t="s">
        <v>483</v>
      </c>
      <c r="AJ58" s="4" t="s">
        <v>491</v>
      </c>
      <c r="AK58" s="6">
        <v>46152</v>
      </c>
      <c r="AL58" s="4">
        <v>147</v>
      </c>
      <c r="AM58" s="4"/>
      <c r="AN58" s="4"/>
      <c r="AO58" s="4" t="str">
        <f t="shared" si="7"/>
        <v/>
      </c>
      <c r="AP58" s="4" t="str">
        <f t="shared" si="8"/>
        <v/>
      </c>
      <c r="AQ58" s="4">
        <f t="shared" si="9"/>
        <v>100</v>
      </c>
      <c r="AR58" s="4" t="str">
        <f t="shared" si="10"/>
        <v/>
      </c>
      <c r="AS58" s="4">
        <v>0</v>
      </c>
      <c r="AT58" s="5">
        <v>100</v>
      </c>
      <c r="AU58" s="4">
        <f t="shared" si="11"/>
        <v>100</v>
      </c>
      <c r="AV58" s="5">
        <v>100</v>
      </c>
      <c r="AW58" s="4">
        <f t="shared" si="12"/>
        <v>100</v>
      </c>
      <c r="AX58" s="4" t="str">
        <f t="shared" si="13"/>
        <v/>
      </c>
      <c r="AY58" s="4"/>
      <c r="AZ58" s="4" t="s">
        <v>492</v>
      </c>
      <c r="BA58" s="4" t="s">
        <v>109</v>
      </c>
      <c r="BB58" s="4" t="s">
        <v>69</v>
      </c>
    </row>
    <row r="59" spans="1:54" ht="70.05" customHeight="1" x14ac:dyDescent="0.3">
      <c r="A59" s="4" t="s">
        <v>493</v>
      </c>
      <c r="B59" s="4" t="s">
        <v>99</v>
      </c>
      <c r="C59" s="4" t="s">
        <v>494</v>
      </c>
      <c r="D59" s="4" t="s">
        <v>495</v>
      </c>
      <c r="E59" s="4" t="s">
        <v>102</v>
      </c>
      <c r="F59" s="4" t="s">
        <v>496</v>
      </c>
      <c r="G59" s="4" t="s">
        <v>373</v>
      </c>
      <c r="H59" s="4"/>
      <c r="I59" s="4"/>
      <c r="J59" s="4" t="s">
        <v>497</v>
      </c>
      <c r="K59" s="5">
        <v>15410127474</v>
      </c>
      <c r="L59" s="5">
        <v>0</v>
      </c>
      <c r="M59" s="5">
        <v>0</v>
      </c>
      <c r="N59" s="5">
        <v>0</v>
      </c>
      <c r="O59" s="5">
        <v>15410127474</v>
      </c>
      <c r="P59" s="5">
        <v>0</v>
      </c>
      <c r="Q59" s="6"/>
      <c r="R59" s="6"/>
      <c r="S59" s="6"/>
      <c r="T59" s="6">
        <v>46084</v>
      </c>
      <c r="U59" s="5">
        <v>0</v>
      </c>
      <c r="V59" s="5">
        <v>0</v>
      </c>
      <c r="W59" s="4"/>
      <c r="X59" s="4"/>
      <c r="Y59" s="6">
        <v>46080</v>
      </c>
      <c r="Z59" s="6"/>
      <c r="AA59" s="6"/>
      <c r="AB59" s="6"/>
      <c r="AC59" s="6"/>
      <c r="AD59" s="6"/>
      <c r="AE59" s="6"/>
      <c r="AF59" s="6"/>
      <c r="AG59" s="6"/>
      <c r="AH59" s="6">
        <v>46157</v>
      </c>
      <c r="AI59" s="4" t="s">
        <v>498</v>
      </c>
      <c r="AJ59" s="4" t="s">
        <v>458</v>
      </c>
      <c r="AK59" s="6">
        <v>46152</v>
      </c>
      <c r="AL59" s="4">
        <v>77</v>
      </c>
      <c r="AM59" s="4"/>
      <c r="AN59" s="4"/>
      <c r="AO59" s="4" t="str">
        <f t="shared" si="7"/>
        <v/>
      </c>
      <c r="AP59" s="4" t="str">
        <f t="shared" si="8"/>
        <v/>
      </c>
      <c r="AQ59" s="4">
        <f t="shared" si="9"/>
        <v>100</v>
      </c>
      <c r="AR59" s="4" t="str">
        <f t="shared" si="10"/>
        <v/>
      </c>
      <c r="AS59" s="4">
        <v>0</v>
      </c>
      <c r="AT59" s="5">
        <v>100</v>
      </c>
      <c r="AU59" s="4">
        <f t="shared" si="11"/>
        <v>100</v>
      </c>
      <c r="AV59" s="5">
        <v>100</v>
      </c>
      <c r="AW59" s="4">
        <f t="shared" si="12"/>
        <v>100</v>
      </c>
      <c r="AX59" s="4" t="str">
        <f t="shared" si="13"/>
        <v/>
      </c>
      <c r="AY59" s="4"/>
      <c r="AZ59" s="4" t="s">
        <v>499</v>
      </c>
      <c r="BA59" s="4" t="s">
        <v>79</v>
      </c>
      <c r="BB59" s="4" t="s">
        <v>500</v>
      </c>
    </row>
    <row r="60" spans="1:54" ht="70.05" customHeight="1" x14ac:dyDescent="0.3">
      <c r="A60" s="4" t="s">
        <v>501</v>
      </c>
      <c r="B60" s="4" t="s">
        <v>99</v>
      </c>
      <c r="C60" s="4" t="s">
        <v>502</v>
      </c>
      <c r="D60" s="4" t="s">
        <v>1012</v>
      </c>
      <c r="E60" s="4" t="s">
        <v>314</v>
      </c>
      <c r="F60" s="4" t="s">
        <v>1013</v>
      </c>
      <c r="G60" s="4" t="s">
        <v>373</v>
      </c>
      <c r="H60" s="4"/>
      <c r="I60" s="4"/>
      <c r="J60" s="4" t="s">
        <v>1014</v>
      </c>
      <c r="K60" s="5">
        <v>783362744.10000002</v>
      </c>
      <c r="L60" s="5">
        <v>0</v>
      </c>
      <c r="M60" s="5">
        <v>0</v>
      </c>
      <c r="N60" s="5">
        <v>0</v>
      </c>
      <c r="O60" s="5">
        <v>783362744.10000002</v>
      </c>
      <c r="P60" s="5">
        <v>0</v>
      </c>
      <c r="Q60" s="6"/>
      <c r="R60" s="6">
        <v>46172</v>
      </c>
      <c r="S60" s="6">
        <v>46176</v>
      </c>
      <c r="T60" s="6">
        <v>46178</v>
      </c>
      <c r="U60" s="5">
        <v>0</v>
      </c>
      <c r="V60" s="5">
        <v>0</v>
      </c>
      <c r="W60" s="4"/>
      <c r="X60" s="4"/>
      <c r="Y60" s="6">
        <v>46169</v>
      </c>
      <c r="Z60" s="6"/>
      <c r="AA60" s="6"/>
      <c r="AB60" s="6"/>
      <c r="AC60" s="6"/>
      <c r="AD60" s="6"/>
      <c r="AE60" s="6"/>
      <c r="AF60" s="6"/>
      <c r="AG60" s="6"/>
      <c r="AH60" s="6">
        <v>46188</v>
      </c>
      <c r="AI60" s="4"/>
      <c r="AJ60" s="4"/>
      <c r="AK60" s="6"/>
      <c r="AL60" s="4">
        <v>19</v>
      </c>
      <c r="AM60" s="4"/>
      <c r="AN60" s="4"/>
      <c r="AO60" s="4" t="str">
        <f t="shared" si="7"/>
        <v/>
      </c>
      <c r="AP60" s="4" t="str">
        <f t="shared" si="8"/>
        <v/>
      </c>
      <c r="AQ60" s="4">
        <f t="shared" si="9"/>
        <v>100</v>
      </c>
      <c r="AR60" s="4" t="str">
        <f t="shared" si="10"/>
        <v/>
      </c>
      <c r="AS60" s="4"/>
      <c r="AT60" s="5"/>
      <c r="AU60" s="4" t="str">
        <f t="shared" si="11"/>
        <v/>
      </c>
      <c r="AV60" s="5"/>
      <c r="AW60" s="4">
        <f t="shared" si="12"/>
        <v>100</v>
      </c>
      <c r="AX60" s="4" t="str">
        <f t="shared" si="13"/>
        <v/>
      </c>
      <c r="AY60" s="4"/>
      <c r="AZ60" s="4" t="s">
        <v>417</v>
      </c>
      <c r="BA60" s="4" t="s">
        <v>109</v>
      </c>
      <c r="BB60" s="4" t="s">
        <v>285</v>
      </c>
    </row>
  </sheetData>
  <mergeCells count="3">
    <mergeCell ref="A1:T1"/>
    <mergeCell ref="U1:AS1"/>
    <mergeCell ref="AT1:BB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P18"/>
  <sheetViews>
    <sheetView tabSelected="1" topLeftCell="AH1" workbookViewId="0">
      <selection activeCell="AN2" sqref="AN2"/>
    </sheetView>
  </sheetViews>
  <sheetFormatPr baseColWidth="10" defaultColWidth="8.88671875" defaultRowHeight="14.4" x14ac:dyDescent="0.3"/>
  <cols>
    <col min="1" max="31" width="25.6640625" customWidth="1"/>
    <col min="32" max="32" width="25.6640625" hidden="1" customWidth="1"/>
    <col min="33" max="37" width="25.6640625" customWidth="1"/>
    <col min="38" max="38" width="25.6640625" hidden="1" customWidth="1"/>
    <col min="39" max="42" width="25.6640625" customWidth="1"/>
  </cols>
  <sheetData>
    <row r="1" spans="1:42" ht="40.049999999999997" customHeight="1" x14ac:dyDescent="0.3">
      <c r="A1" s="7" t="s">
        <v>0</v>
      </c>
      <c r="B1" s="7"/>
      <c r="C1" s="7"/>
      <c r="D1" s="7"/>
      <c r="E1" s="7"/>
      <c r="F1" s="7"/>
      <c r="G1" s="7"/>
      <c r="H1" s="7"/>
      <c r="I1" s="7"/>
      <c r="J1" s="7"/>
      <c r="K1" s="7"/>
      <c r="L1" s="7"/>
      <c r="M1" s="7"/>
      <c r="N1" s="7"/>
      <c r="O1" s="8" t="s">
        <v>1</v>
      </c>
      <c r="P1" s="8"/>
      <c r="Q1" s="8"/>
      <c r="R1" s="8"/>
      <c r="S1" s="8"/>
      <c r="T1" s="8"/>
      <c r="U1" s="8"/>
      <c r="V1" s="8"/>
      <c r="W1" s="8"/>
      <c r="X1" s="8"/>
      <c r="Y1" s="8"/>
      <c r="Z1" s="8"/>
      <c r="AA1" s="8"/>
      <c r="AB1" s="8"/>
      <c r="AC1" s="8"/>
      <c r="AD1" s="8"/>
      <c r="AE1" s="8"/>
      <c r="AF1" s="8"/>
      <c r="AG1" s="8"/>
      <c r="AH1" s="8"/>
      <c r="AI1" s="7" t="s">
        <v>2</v>
      </c>
      <c r="AJ1" s="7"/>
      <c r="AK1" s="7"/>
      <c r="AL1" s="7"/>
      <c r="AM1" s="7"/>
      <c r="AN1" s="7"/>
      <c r="AO1" s="7"/>
      <c r="AP1" s="7"/>
    </row>
    <row r="2" spans="1:42" ht="70.05" customHeight="1" x14ac:dyDescent="0.3">
      <c r="A2" s="1" t="s">
        <v>3</v>
      </c>
      <c r="B2" s="1" t="s">
        <v>503</v>
      </c>
      <c r="C2" s="1" t="s">
        <v>504</v>
      </c>
      <c r="D2" s="1" t="s">
        <v>505</v>
      </c>
      <c r="E2" s="1" t="s">
        <v>7</v>
      </c>
      <c r="F2" s="1" t="s">
        <v>506</v>
      </c>
      <c r="G2" s="1" t="s">
        <v>9</v>
      </c>
      <c r="H2" s="1" t="s">
        <v>10</v>
      </c>
      <c r="I2" s="1" t="s">
        <v>13</v>
      </c>
      <c r="J2" s="1" t="s">
        <v>15</v>
      </c>
      <c r="K2" s="1" t="s">
        <v>507</v>
      </c>
      <c r="L2" s="1" t="s">
        <v>20</v>
      </c>
      <c r="M2" s="1" t="s">
        <v>21</v>
      </c>
      <c r="N2" s="1" t="s">
        <v>22</v>
      </c>
      <c r="O2" s="2" t="s">
        <v>508</v>
      </c>
      <c r="P2" s="2" t="s">
        <v>24</v>
      </c>
      <c r="Q2" s="2" t="s">
        <v>25</v>
      </c>
      <c r="R2" s="2" t="s">
        <v>26</v>
      </c>
      <c r="S2" s="2" t="s">
        <v>27</v>
      </c>
      <c r="T2" s="2" t="s">
        <v>28</v>
      </c>
      <c r="U2" s="2" t="s">
        <v>29</v>
      </c>
      <c r="V2" s="2" t="s">
        <v>30</v>
      </c>
      <c r="W2" s="2" t="s">
        <v>31</v>
      </c>
      <c r="X2" s="2" t="s">
        <v>32</v>
      </c>
      <c r="Y2" s="2" t="s">
        <v>34</v>
      </c>
      <c r="Z2" s="2" t="s">
        <v>35</v>
      </c>
      <c r="AA2" s="2" t="s">
        <v>39</v>
      </c>
      <c r="AB2" s="2" t="s">
        <v>40</v>
      </c>
      <c r="AC2" s="2" t="s">
        <v>41</v>
      </c>
      <c r="AD2" s="2" t="s">
        <v>42</v>
      </c>
      <c r="AE2" s="2" t="s">
        <v>43</v>
      </c>
      <c r="AF2" s="2" t="s">
        <v>44</v>
      </c>
      <c r="AG2" s="2" t="s">
        <v>45</v>
      </c>
      <c r="AH2" s="2" t="s">
        <v>46</v>
      </c>
      <c r="AI2" s="1" t="s">
        <v>47</v>
      </c>
      <c r="AJ2" s="1" t="s">
        <v>48</v>
      </c>
      <c r="AK2" s="1" t="s">
        <v>49</v>
      </c>
      <c r="AL2" s="1" t="s">
        <v>50</v>
      </c>
      <c r="AM2" s="1" t="s">
        <v>51</v>
      </c>
      <c r="AN2" s="1" t="s">
        <v>1010</v>
      </c>
      <c r="AO2" s="1" t="s">
        <v>52</v>
      </c>
      <c r="AP2" s="3" t="s">
        <v>54</v>
      </c>
    </row>
    <row r="3" spans="1:42" ht="70.05" customHeight="1" x14ac:dyDescent="0.3">
      <c r="A3" s="4" t="s">
        <v>509</v>
      </c>
      <c r="B3" s="4" t="s">
        <v>510</v>
      </c>
      <c r="C3" s="4" t="s">
        <v>511</v>
      </c>
      <c r="D3" s="4" t="s">
        <v>512</v>
      </c>
      <c r="E3" s="4" t="s">
        <v>307</v>
      </c>
      <c r="F3" s="4" t="s">
        <v>513</v>
      </c>
      <c r="G3" s="4" t="s">
        <v>61</v>
      </c>
      <c r="H3" s="4" t="s">
        <v>514</v>
      </c>
      <c r="I3" s="5">
        <v>2006938345.6700001</v>
      </c>
      <c r="J3" s="5">
        <v>398005572.76999998</v>
      </c>
      <c r="K3" s="5">
        <v>2404943918.4400001</v>
      </c>
      <c r="L3" s="6">
        <v>44196</v>
      </c>
      <c r="M3" s="6">
        <v>44197</v>
      </c>
      <c r="N3" s="6">
        <v>44326</v>
      </c>
      <c r="O3" s="5">
        <v>100.01</v>
      </c>
      <c r="P3" s="5">
        <v>84.26</v>
      </c>
      <c r="Q3" s="4"/>
      <c r="R3" s="4"/>
      <c r="S3" s="6">
        <v>44193</v>
      </c>
      <c r="T3" s="6">
        <v>44412</v>
      </c>
      <c r="U3" s="6">
        <v>44342</v>
      </c>
      <c r="V3" s="6"/>
      <c r="W3" s="6">
        <v>44593</v>
      </c>
      <c r="X3" s="6"/>
      <c r="Y3" s="6"/>
      <c r="Z3" s="6">
        <v>46127</v>
      </c>
      <c r="AA3" s="4"/>
      <c r="AB3" s="4"/>
      <c r="AC3" s="4"/>
      <c r="AD3" s="4" t="str">
        <f t="shared" ref="AD3:AD18" si="0">IF(AND($R3&gt;1.3,$G3="CONTRATADO EN EJECUCIÓN"),0,IF(AND($R3&gt;1.25,$R3&lt;=1.3,$G3="CONTRATADO EN EJECUCIÓN"),30,IF(AND($R3&gt;1.2,$R3&lt;=1.25,$G3="CONTRATADO EN EJECUCIÓN"),90,IF(AND($R3&gt;=0.84,$R3&lt;1.2,$G3="CONTRATADO EN EJECUCIÓN"),100,IF(AND($R3&gt;=0.38,$R3&lt;0.84,$G3="CONTRATADO EN EJECUCIÓN"),(($R3-0.38)/(0.84-0.38))*100,IF(AND($R3&lt;0.38,$G3="CONTRATADO EN EJECUCIÓN"),0,""))))))</f>
        <v/>
      </c>
      <c r="AE3" s="4" t="str">
        <f t="shared" ref="AE3:AE18" si="1">IF(AND($Q3&gt;1.3,$G3="CONTRATADO EN EJECUCIÓN"),0,IF(AND($Q3&gt;1.25,$Q3&lt;=1.3,$G3="CONTRATADO EN EJECUCIÓN"),30,IF(AND($Q3&gt;1.2,$Q3&lt;=1.25,$G3="CONTRATADO EN EJECUCIÓN"),90,IF(AND($Q3&gt;=0.84,$Q3&lt;1.2,$G3="CONTRATADO EN EJECUCIÓN"),100,IF(AND($Q3&gt;=0.38,$Q3&lt;0.84,$G3="CONTRATADO EN EJECUCIÓN"),(($Q3-0.38)/(0.84-0.38))*100,IF(AND($Q3&lt;0.38,$G3="CONTRATADO EN EJECUCIÓN"),0,""))))))</f>
        <v/>
      </c>
      <c r="AF3" s="4">
        <f t="shared" ref="AF3:AF18" si="2">IF(AND($P3&lt;60,($P3-$O3)&lt;=50),100,IF(AND($P3&lt;60,($P3-$O3)&gt;50),0,IF(AND($P3&gt;=60,$P3&lt;70,($P3-$O3)&lt;=40),100,IF(AND($P3&gt;=60,$P3&lt;70,($P3-$O3)&gt;40),0,IF(AND($P3&gt;=70,$P3&lt;80,($P3-$O3)&lt;=30),100,IF(AND($P3&gt;=70,$P3&lt;80,($P3-$O3)&gt;30),0,IF(AND($P3&gt;=80,$P3&lt;90,($P3-$O3)&lt;=20),100,IF(AND($P3&gt;=80,$P3&lt;90,($P3-$O3)&gt;20),0,IF(AND($P3&gt;=90,$P3&lt;=100,($P3-$O3)&lt;=10),100,IF(AND($P3&gt;=90,$P3&lt;=100,($P3-$O3)&gt;10),0,""))))))))))</f>
        <v>100</v>
      </c>
      <c r="AG3" s="4" t="str">
        <f t="shared" ref="AG3:AG18" si="3">IF(AND($O3&gt;$P3,$G3="CONTRATADO EN EJECUCIÓN"),100,IF(AND($P3&gt;$O3,($P3-$O3)&gt;50,$G3="CONTRATADO EN EJECUCIÓN"),0,IF(AND($P3&gt;$O3,($P3-$O3)&lt;=50,$P3&lt;=60),100,IF(AND($P3&gt;$O3,($P3-$O3)&lt;=50,$P3&gt;60),$AF3,""))))</f>
        <v/>
      </c>
      <c r="AH3" s="4">
        <v>2</v>
      </c>
      <c r="AI3" s="4"/>
      <c r="AJ3" s="4"/>
      <c r="AK3" s="4"/>
      <c r="AL3" s="4">
        <f t="shared" ref="AL3:AL18" si="4">IF($AH3=0,100,IF($AH3=1,90,IF($AH3=2,75,IF($AH3=3,60,IF($AH3=4,50,IF($AH3=5,25,IF($AH3&gt;=6,0,"")))))))</f>
        <v>75</v>
      </c>
      <c r="AM3" s="4" t="str">
        <f t="shared" ref="AM3:AM18" si="5">IFERROR(IF($G3="CONTRATADO EN EJECUCIÓN",IF(AND(ISNUMBER($X3),ISNUMBER($Z3),$X3&lt;$Z3),0,IF($AH3&gt;=1,(IFERROR(IF(ISNUMBER($AJ3),($AD3*0.4+$AE3*0.2+$AG3*0.4),""),""))*$AL3/100,IFERROR(IF(ISNUMBER($AJ3),($AD3*0.4+$AE3*0.2+$AG3*0.4),""),""))),IF($G3="CONTRATADO SIN ACTA DE INICIO",IF(AND($Z3-$V3&gt;=0,$Z3-$V3&lt;=30),100,0),"")),"")</f>
        <v/>
      </c>
      <c r="AN3" s="4"/>
      <c r="AO3" s="4" t="s">
        <v>515</v>
      </c>
      <c r="AP3" s="4" t="s">
        <v>69</v>
      </c>
    </row>
    <row r="4" spans="1:42" ht="70.05" customHeight="1" x14ac:dyDescent="0.3">
      <c r="A4" s="4" t="s">
        <v>516</v>
      </c>
      <c r="B4" s="4" t="s">
        <v>510</v>
      </c>
      <c r="C4" s="4" t="s">
        <v>517</v>
      </c>
      <c r="D4" s="4" t="s">
        <v>518</v>
      </c>
      <c r="E4" s="4" t="s">
        <v>307</v>
      </c>
      <c r="F4" s="4" t="s">
        <v>519</v>
      </c>
      <c r="G4" s="4" t="s">
        <v>61</v>
      </c>
      <c r="H4" s="4" t="s">
        <v>514</v>
      </c>
      <c r="I4" s="5">
        <v>1295118639.0699999</v>
      </c>
      <c r="J4" s="5">
        <v>143902071.00999999</v>
      </c>
      <c r="K4" s="5">
        <v>1439020710.0799999</v>
      </c>
      <c r="L4" s="6">
        <v>44196</v>
      </c>
      <c r="M4" s="6">
        <v>44197</v>
      </c>
      <c r="N4" s="6">
        <v>44326</v>
      </c>
      <c r="O4" s="5">
        <v>100</v>
      </c>
      <c r="P4" s="5">
        <v>95.4</v>
      </c>
      <c r="Q4" s="4"/>
      <c r="R4" s="4"/>
      <c r="S4" s="6">
        <v>44193</v>
      </c>
      <c r="T4" s="6">
        <v>44412</v>
      </c>
      <c r="U4" s="6">
        <v>44462</v>
      </c>
      <c r="V4" s="6"/>
      <c r="W4" s="6">
        <v>44567</v>
      </c>
      <c r="X4" s="6"/>
      <c r="Y4" s="6"/>
      <c r="Z4" s="6">
        <v>46127</v>
      </c>
      <c r="AA4" s="4"/>
      <c r="AB4" s="4"/>
      <c r="AC4" s="4"/>
      <c r="AD4" s="4" t="str">
        <f t="shared" si="0"/>
        <v/>
      </c>
      <c r="AE4" s="4" t="str">
        <f t="shared" si="1"/>
        <v/>
      </c>
      <c r="AF4" s="4">
        <f t="shared" si="2"/>
        <v>100</v>
      </c>
      <c r="AG4" s="4" t="str">
        <f t="shared" si="3"/>
        <v/>
      </c>
      <c r="AH4" s="4">
        <v>0</v>
      </c>
      <c r="AI4" s="4"/>
      <c r="AJ4" s="4"/>
      <c r="AK4" s="4"/>
      <c r="AL4" s="4">
        <f t="shared" si="4"/>
        <v>100</v>
      </c>
      <c r="AM4" s="4" t="str">
        <f t="shared" si="5"/>
        <v/>
      </c>
      <c r="AN4" s="4"/>
      <c r="AO4" s="4" t="s">
        <v>515</v>
      </c>
      <c r="AP4" s="4" t="s">
        <v>69</v>
      </c>
    </row>
    <row r="5" spans="1:42" ht="70.05" customHeight="1" x14ac:dyDescent="0.3">
      <c r="A5" s="4" t="s">
        <v>520</v>
      </c>
      <c r="B5" s="4" t="s">
        <v>521</v>
      </c>
      <c r="C5" s="4" t="s">
        <v>522</v>
      </c>
      <c r="D5" s="4" t="s">
        <v>523</v>
      </c>
      <c r="E5" s="4" t="s">
        <v>59</v>
      </c>
      <c r="F5" s="4" t="s">
        <v>186</v>
      </c>
      <c r="G5" s="4" t="s">
        <v>93</v>
      </c>
      <c r="H5" s="4" t="s">
        <v>524</v>
      </c>
      <c r="I5" s="5">
        <v>3153851580.9099998</v>
      </c>
      <c r="J5" s="5">
        <v>0</v>
      </c>
      <c r="K5" s="5">
        <v>3153851580.9099998</v>
      </c>
      <c r="L5" s="6">
        <v>44567</v>
      </c>
      <c r="M5" s="6">
        <v>44568</v>
      </c>
      <c r="N5" s="6"/>
      <c r="O5" s="5">
        <v>96.02</v>
      </c>
      <c r="P5" s="5">
        <v>94.36</v>
      </c>
      <c r="Q5" s="4">
        <v>1</v>
      </c>
      <c r="R5" s="4">
        <v>1</v>
      </c>
      <c r="S5" s="6">
        <v>44536</v>
      </c>
      <c r="T5" s="6">
        <v>44930</v>
      </c>
      <c r="U5" s="6">
        <v>44718</v>
      </c>
      <c r="V5" s="6"/>
      <c r="W5" s="6">
        <v>44722</v>
      </c>
      <c r="X5" s="6"/>
      <c r="Y5" s="6"/>
      <c r="Z5" s="6">
        <v>46096</v>
      </c>
      <c r="AA5" s="4"/>
      <c r="AB5" s="4"/>
      <c r="AC5" s="4"/>
      <c r="AD5" s="4">
        <f t="shared" si="0"/>
        <v>100</v>
      </c>
      <c r="AE5" s="4">
        <f t="shared" si="1"/>
        <v>100</v>
      </c>
      <c r="AF5" s="4">
        <f t="shared" si="2"/>
        <v>100</v>
      </c>
      <c r="AG5" s="4">
        <f t="shared" si="3"/>
        <v>100</v>
      </c>
      <c r="AH5" s="4">
        <v>2</v>
      </c>
      <c r="AI5" s="4"/>
      <c r="AJ5" s="4">
        <v>100</v>
      </c>
      <c r="AK5" s="4">
        <v>100</v>
      </c>
      <c r="AL5" s="4">
        <f t="shared" si="4"/>
        <v>75</v>
      </c>
      <c r="AM5" s="4">
        <f t="shared" si="5"/>
        <v>75</v>
      </c>
      <c r="AN5" s="4"/>
      <c r="AO5" s="4" t="s">
        <v>525</v>
      </c>
      <c r="AP5" s="4" t="s">
        <v>97</v>
      </c>
    </row>
    <row r="6" spans="1:42" ht="70.05" customHeight="1" x14ac:dyDescent="0.3">
      <c r="A6" s="4" t="s">
        <v>526</v>
      </c>
      <c r="B6" s="4" t="s">
        <v>510</v>
      </c>
      <c r="C6" s="4" t="s">
        <v>527</v>
      </c>
      <c r="D6" s="4" t="s">
        <v>528</v>
      </c>
      <c r="E6" s="4" t="s">
        <v>307</v>
      </c>
      <c r="F6" s="4" t="s">
        <v>529</v>
      </c>
      <c r="G6" s="4" t="s">
        <v>93</v>
      </c>
      <c r="H6" s="4" t="s">
        <v>530</v>
      </c>
      <c r="I6" s="5">
        <v>6026477761</v>
      </c>
      <c r="J6" s="5">
        <v>4412367709</v>
      </c>
      <c r="K6" s="5">
        <v>10438845470</v>
      </c>
      <c r="L6" s="6">
        <v>44623</v>
      </c>
      <c r="M6" s="6">
        <v>44624</v>
      </c>
      <c r="N6" s="6">
        <v>44509</v>
      </c>
      <c r="O6" s="5">
        <v>73.45</v>
      </c>
      <c r="P6" s="5">
        <v>49.45</v>
      </c>
      <c r="Q6" s="4">
        <v>1</v>
      </c>
      <c r="R6" s="4">
        <v>0.97</v>
      </c>
      <c r="S6" s="6">
        <v>44503</v>
      </c>
      <c r="T6" s="6">
        <v>44643</v>
      </c>
      <c r="U6" s="6">
        <v>44706</v>
      </c>
      <c r="V6" s="6"/>
      <c r="W6" s="6">
        <v>44810</v>
      </c>
      <c r="X6" s="6"/>
      <c r="Y6" s="6"/>
      <c r="Z6" s="6">
        <v>46127</v>
      </c>
      <c r="AA6" s="4"/>
      <c r="AB6" s="4"/>
      <c r="AC6" s="4"/>
      <c r="AD6" s="4">
        <f t="shared" si="0"/>
        <v>100</v>
      </c>
      <c r="AE6" s="4">
        <f t="shared" si="1"/>
        <v>100</v>
      </c>
      <c r="AF6" s="4">
        <f t="shared" si="2"/>
        <v>100</v>
      </c>
      <c r="AG6" s="4">
        <f t="shared" si="3"/>
        <v>100</v>
      </c>
      <c r="AH6" s="4">
        <v>4</v>
      </c>
      <c r="AI6" s="4"/>
      <c r="AJ6" s="4">
        <v>100</v>
      </c>
      <c r="AK6" s="4">
        <v>100</v>
      </c>
      <c r="AL6" s="4">
        <f t="shared" si="4"/>
        <v>50</v>
      </c>
      <c r="AM6" s="4">
        <f t="shared" si="5"/>
        <v>50</v>
      </c>
      <c r="AN6" s="4"/>
      <c r="AO6" s="4" t="s">
        <v>531</v>
      </c>
      <c r="AP6" s="4" t="s">
        <v>190</v>
      </c>
    </row>
    <row r="7" spans="1:42" ht="70.05" customHeight="1" x14ac:dyDescent="0.3">
      <c r="A7" s="4" t="s">
        <v>532</v>
      </c>
      <c r="B7" s="4" t="s">
        <v>510</v>
      </c>
      <c r="C7" s="4" t="s">
        <v>533</v>
      </c>
      <c r="D7" s="4" t="s">
        <v>534</v>
      </c>
      <c r="E7" s="4" t="s">
        <v>307</v>
      </c>
      <c r="F7" s="4" t="s">
        <v>535</v>
      </c>
      <c r="G7" s="4" t="s">
        <v>93</v>
      </c>
      <c r="H7" s="4" t="s">
        <v>524</v>
      </c>
      <c r="I7" s="5">
        <v>1800000000</v>
      </c>
      <c r="J7" s="5">
        <v>3595445276.02</v>
      </c>
      <c r="K7" s="5">
        <v>5395445276.0200005</v>
      </c>
      <c r="L7" s="6">
        <v>44924</v>
      </c>
      <c r="M7" s="6">
        <v>44925</v>
      </c>
      <c r="N7" s="6">
        <v>44930</v>
      </c>
      <c r="O7" s="5">
        <v>64.489999999999995</v>
      </c>
      <c r="P7" s="5">
        <v>45.29</v>
      </c>
      <c r="Q7" s="4">
        <v>1</v>
      </c>
      <c r="R7" s="4">
        <v>1</v>
      </c>
      <c r="S7" s="6">
        <v>44924</v>
      </c>
      <c r="T7" s="6">
        <v>45093</v>
      </c>
      <c r="U7" s="6">
        <v>45043</v>
      </c>
      <c r="V7" s="6"/>
      <c r="W7" s="6">
        <v>45175</v>
      </c>
      <c r="X7" s="6"/>
      <c r="Y7" s="6"/>
      <c r="Z7" s="6">
        <v>46127</v>
      </c>
      <c r="AA7" s="4"/>
      <c r="AB7" s="4"/>
      <c r="AC7" s="4"/>
      <c r="AD7" s="4">
        <f t="shared" si="0"/>
        <v>100</v>
      </c>
      <c r="AE7" s="4">
        <f t="shared" si="1"/>
        <v>100</v>
      </c>
      <c r="AF7" s="4">
        <f t="shared" si="2"/>
        <v>100</v>
      </c>
      <c r="AG7" s="4">
        <f t="shared" si="3"/>
        <v>100</v>
      </c>
      <c r="AH7" s="4">
        <v>4</v>
      </c>
      <c r="AI7" s="4"/>
      <c r="AJ7" s="4">
        <v>100</v>
      </c>
      <c r="AK7" s="4">
        <v>100</v>
      </c>
      <c r="AL7" s="4">
        <f t="shared" si="4"/>
        <v>50</v>
      </c>
      <c r="AM7" s="4">
        <f t="shared" si="5"/>
        <v>50</v>
      </c>
      <c r="AN7" s="4"/>
      <c r="AO7" s="4" t="s">
        <v>531</v>
      </c>
      <c r="AP7" s="4" t="s">
        <v>69</v>
      </c>
    </row>
    <row r="8" spans="1:42" ht="70.05" customHeight="1" x14ac:dyDescent="0.3">
      <c r="A8" s="4" t="s">
        <v>536</v>
      </c>
      <c r="B8" s="4" t="s">
        <v>521</v>
      </c>
      <c r="C8" s="4" t="s">
        <v>537</v>
      </c>
      <c r="D8" s="4" t="s">
        <v>538</v>
      </c>
      <c r="E8" s="4" t="s">
        <v>59</v>
      </c>
      <c r="F8" s="4" t="s">
        <v>105</v>
      </c>
      <c r="G8" s="4" t="s">
        <v>61</v>
      </c>
      <c r="H8" s="4" t="s">
        <v>514</v>
      </c>
      <c r="I8" s="5">
        <v>1702007732.2</v>
      </c>
      <c r="J8" s="5">
        <v>0</v>
      </c>
      <c r="K8" s="5">
        <v>1702007732.2</v>
      </c>
      <c r="L8" s="6">
        <v>45225</v>
      </c>
      <c r="M8" s="6">
        <v>45226</v>
      </c>
      <c r="N8" s="6">
        <v>45232</v>
      </c>
      <c r="O8" s="5">
        <v>100</v>
      </c>
      <c r="P8" s="5">
        <v>92.4</v>
      </c>
      <c r="Q8" s="4"/>
      <c r="R8" s="4"/>
      <c r="S8" s="6">
        <v>45219</v>
      </c>
      <c r="T8" s="6">
        <v>45274</v>
      </c>
      <c r="U8" s="6">
        <v>45289</v>
      </c>
      <c r="V8" s="6"/>
      <c r="W8" s="6">
        <v>45300</v>
      </c>
      <c r="X8" s="6"/>
      <c r="Y8" s="6"/>
      <c r="Z8" s="6">
        <v>46096</v>
      </c>
      <c r="AA8" s="4"/>
      <c r="AB8" s="4"/>
      <c r="AC8" s="4"/>
      <c r="AD8" s="4" t="str">
        <f t="shared" si="0"/>
        <v/>
      </c>
      <c r="AE8" s="4" t="str">
        <f t="shared" si="1"/>
        <v/>
      </c>
      <c r="AF8" s="4">
        <f t="shared" si="2"/>
        <v>100</v>
      </c>
      <c r="AG8" s="4" t="str">
        <f t="shared" si="3"/>
        <v/>
      </c>
      <c r="AH8" s="4">
        <v>0</v>
      </c>
      <c r="AI8" s="4"/>
      <c r="AJ8" s="4"/>
      <c r="AK8" s="4"/>
      <c r="AL8" s="4">
        <f t="shared" si="4"/>
        <v>100</v>
      </c>
      <c r="AM8" s="4" t="str">
        <f t="shared" si="5"/>
        <v/>
      </c>
      <c r="AN8" s="4"/>
      <c r="AO8" s="4" t="s">
        <v>515</v>
      </c>
      <c r="AP8" s="4" t="s">
        <v>539</v>
      </c>
    </row>
    <row r="9" spans="1:42" ht="70.05" customHeight="1" x14ac:dyDescent="0.3">
      <c r="A9" s="4" t="s">
        <v>540</v>
      </c>
      <c r="B9" s="4" t="s">
        <v>521</v>
      </c>
      <c r="C9" s="4" t="s">
        <v>541</v>
      </c>
      <c r="D9" s="4" t="s">
        <v>542</v>
      </c>
      <c r="E9" s="4" t="s">
        <v>314</v>
      </c>
      <c r="F9" s="4" t="s">
        <v>543</v>
      </c>
      <c r="G9" s="4" t="s">
        <v>230</v>
      </c>
      <c r="H9" s="4" t="s">
        <v>514</v>
      </c>
      <c r="I9" s="5">
        <v>13713002364.719999</v>
      </c>
      <c r="J9" s="5">
        <v>0</v>
      </c>
      <c r="K9" s="5">
        <v>13713002364.719999</v>
      </c>
      <c r="L9" s="6">
        <v>45301</v>
      </c>
      <c r="M9" s="6">
        <v>45302</v>
      </c>
      <c r="N9" s="6">
        <v>45290</v>
      </c>
      <c r="O9" s="5">
        <v>100</v>
      </c>
      <c r="P9" s="5">
        <v>99.99</v>
      </c>
      <c r="Q9" s="4">
        <v>1</v>
      </c>
      <c r="R9" s="4">
        <v>1</v>
      </c>
      <c r="S9" s="6">
        <v>45290</v>
      </c>
      <c r="T9" s="6">
        <v>45433</v>
      </c>
      <c r="U9" s="6">
        <v>45505</v>
      </c>
      <c r="V9" s="6"/>
      <c r="W9" s="6">
        <v>45567</v>
      </c>
      <c r="X9" s="6"/>
      <c r="Y9" s="6"/>
      <c r="Z9" s="6">
        <v>46096</v>
      </c>
      <c r="AA9" s="4"/>
      <c r="AB9" s="4"/>
      <c r="AC9" s="4"/>
      <c r="AD9" s="4" t="str">
        <f t="shared" si="0"/>
        <v/>
      </c>
      <c r="AE9" s="4" t="str">
        <f t="shared" si="1"/>
        <v/>
      </c>
      <c r="AF9" s="4">
        <f t="shared" si="2"/>
        <v>100</v>
      </c>
      <c r="AG9" s="4" t="str">
        <f t="shared" si="3"/>
        <v/>
      </c>
      <c r="AH9" s="4">
        <v>2</v>
      </c>
      <c r="AI9" s="4"/>
      <c r="AJ9" s="4">
        <v>100</v>
      </c>
      <c r="AK9" s="4">
        <v>100</v>
      </c>
      <c r="AL9" s="4">
        <f t="shared" si="4"/>
        <v>75</v>
      </c>
      <c r="AM9" s="4" t="str">
        <f t="shared" si="5"/>
        <v/>
      </c>
      <c r="AN9" s="4"/>
      <c r="AO9" s="4" t="s">
        <v>515</v>
      </c>
      <c r="AP9" s="4" t="s">
        <v>544</v>
      </c>
    </row>
    <row r="10" spans="1:42" ht="70.05" customHeight="1" x14ac:dyDescent="0.3">
      <c r="A10" s="4" t="s">
        <v>545</v>
      </c>
      <c r="B10" s="4" t="s">
        <v>521</v>
      </c>
      <c r="C10" s="4" t="s">
        <v>546</v>
      </c>
      <c r="D10" s="4" t="s">
        <v>547</v>
      </c>
      <c r="E10" s="4" t="s">
        <v>244</v>
      </c>
      <c r="F10" s="4" t="s">
        <v>105</v>
      </c>
      <c r="G10" s="4" t="s">
        <v>93</v>
      </c>
      <c r="H10" s="4" t="s">
        <v>524</v>
      </c>
      <c r="I10" s="5">
        <v>9056051736.6399994</v>
      </c>
      <c r="J10" s="5">
        <v>0</v>
      </c>
      <c r="K10" s="5">
        <v>9056051736.6399994</v>
      </c>
      <c r="L10" s="6">
        <v>45301</v>
      </c>
      <c r="M10" s="6">
        <v>45302</v>
      </c>
      <c r="N10" s="6">
        <v>45290</v>
      </c>
      <c r="O10" s="5">
        <v>15.79</v>
      </c>
      <c r="P10" s="5">
        <v>31.78</v>
      </c>
      <c r="Q10" s="4">
        <v>1</v>
      </c>
      <c r="R10" s="4">
        <v>0.89</v>
      </c>
      <c r="S10" s="6">
        <v>45290</v>
      </c>
      <c r="T10" s="6">
        <v>45491</v>
      </c>
      <c r="U10" s="6">
        <v>45582</v>
      </c>
      <c r="V10" s="6"/>
      <c r="W10" s="6">
        <v>45772</v>
      </c>
      <c r="X10" s="6"/>
      <c r="Y10" s="6"/>
      <c r="Z10" s="6">
        <v>46096</v>
      </c>
      <c r="AA10" s="4"/>
      <c r="AB10" s="4"/>
      <c r="AC10" s="4"/>
      <c r="AD10" s="4">
        <f t="shared" si="0"/>
        <v>100</v>
      </c>
      <c r="AE10" s="4">
        <f t="shared" si="1"/>
        <v>100</v>
      </c>
      <c r="AF10" s="4">
        <f t="shared" si="2"/>
        <v>100</v>
      </c>
      <c r="AG10" s="4">
        <f t="shared" si="3"/>
        <v>100</v>
      </c>
      <c r="AH10" s="4"/>
      <c r="AI10" s="4"/>
      <c r="AJ10" s="4">
        <v>100</v>
      </c>
      <c r="AK10" s="4">
        <v>100</v>
      </c>
      <c r="AL10" s="4">
        <f t="shared" si="4"/>
        <v>100</v>
      </c>
      <c r="AM10" s="4">
        <f t="shared" si="5"/>
        <v>100</v>
      </c>
      <c r="AN10" s="4"/>
      <c r="AO10" s="4"/>
      <c r="AP10" s="4" t="s">
        <v>240</v>
      </c>
    </row>
    <row r="11" spans="1:42" ht="70.05" customHeight="1" x14ac:dyDescent="0.3">
      <c r="A11" s="4" t="s">
        <v>548</v>
      </c>
      <c r="B11" s="4" t="s">
        <v>510</v>
      </c>
      <c r="C11" s="4" t="s">
        <v>549</v>
      </c>
      <c r="D11" s="4" t="s">
        <v>550</v>
      </c>
      <c r="E11" s="4" t="s">
        <v>307</v>
      </c>
      <c r="F11" s="4" t="s">
        <v>105</v>
      </c>
      <c r="G11" s="4" t="s">
        <v>93</v>
      </c>
      <c r="H11" s="4" t="s">
        <v>524</v>
      </c>
      <c r="I11" s="5">
        <v>7862105021</v>
      </c>
      <c r="J11" s="5">
        <v>0</v>
      </c>
      <c r="K11" s="5">
        <v>7862105021</v>
      </c>
      <c r="L11" s="6">
        <v>45477</v>
      </c>
      <c r="M11" s="6">
        <v>45478</v>
      </c>
      <c r="N11" s="6">
        <v>45485</v>
      </c>
      <c r="O11" s="5">
        <v>94.7</v>
      </c>
      <c r="P11" s="5">
        <v>89.87</v>
      </c>
      <c r="Q11" s="4">
        <v>1</v>
      </c>
      <c r="R11" s="4">
        <v>1</v>
      </c>
      <c r="S11" s="6">
        <v>45471</v>
      </c>
      <c r="T11" s="6">
        <v>45539</v>
      </c>
      <c r="U11" s="6">
        <v>45609</v>
      </c>
      <c r="V11" s="6"/>
      <c r="W11" s="6">
        <v>45624</v>
      </c>
      <c r="X11" s="6"/>
      <c r="Y11" s="6"/>
      <c r="Z11" s="6">
        <v>46127</v>
      </c>
      <c r="AA11" s="4"/>
      <c r="AB11" s="4"/>
      <c r="AC11" s="4"/>
      <c r="AD11" s="4">
        <f t="shared" si="0"/>
        <v>100</v>
      </c>
      <c r="AE11" s="4">
        <f t="shared" si="1"/>
        <v>100</v>
      </c>
      <c r="AF11" s="4">
        <f t="shared" si="2"/>
        <v>100</v>
      </c>
      <c r="AG11" s="4">
        <f t="shared" si="3"/>
        <v>100</v>
      </c>
      <c r="AH11" s="4">
        <v>3</v>
      </c>
      <c r="AI11" s="4"/>
      <c r="AJ11" s="4">
        <v>100</v>
      </c>
      <c r="AK11" s="4">
        <v>100</v>
      </c>
      <c r="AL11" s="4">
        <f t="shared" si="4"/>
        <v>60</v>
      </c>
      <c r="AM11" s="4">
        <f t="shared" si="5"/>
        <v>60</v>
      </c>
      <c r="AN11" s="4"/>
      <c r="AO11" s="4"/>
      <c r="AP11" s="4" t="s">
        <v>140</v>
      </c>
    </row>
    <row r="12" spans="1:42" ht="70.05" customHeight="1" x14ac:dyDescent="0.3">
      <c r="A12" s="4" t="s">
        <v>551</v>
      </c>
      <c r="B12" s="4" t="s">
        <v>552</v>
      </c>
      <c r="C12" s="4" t="s">
        <v>553</v>
      </c>
      <c r="D12" s="4" t="s">
        <v>554</v>
      </c>
      <c r="E12" s="4" t="s">
        <v>282</v>
      </c>
      <c r="F12" s="4" t="s">
        <v>105</v>
      </c>
      <c r="G12" s="4" t="s">
        <v>93</v>
      </c>
      <c r="H12" s="4" t="s">
        <v>524</v>
      </c>
      <c r="I12" s="5">
        <v>15100656106.639999</v>
      </c>
      <c r="J12" s="5">
        <v>0</v>
      </c>
      <c r="K12" s="5">
        <v>15100656106.639999</v>
      </c>
      <c r="L12" s="6">
        <v>45474</v>
      </c>
      <c r="M12" s="6">
        <v>45475</v>
      </c>
      <c r="N12" s="6">
        <v>45506</v>
      </c>
      <c r="O12" s="5">
        <v>99.98</v>
      </c>
      <c r="P12" s="5">
        <v>88.74</v>
      </c>
      <c r="Q12" s="4">
        <v>1</v>
      </c>
      <c r="R12" s="4">
        <v>1</v>
      </c>
      <c r="S12" s="6">
        <v>45470</v>
      </c>
      <c r="T12" s="6">
        <v>45544</v>
      </c>
      <c r="U12" s="6">
        <v>45716</v>
      </c>
      <c r="V12" s="6"/>
      <c r="W12" s="6">
        <v>45723</v>
      </c>
      <c r="X12" s="6"/>
      <c r="Y12" s="6"/>
      <c r="Z12" s="6">
        <v>46096</v>
      </c>
      <c r="AA12" s="4"/>
      <c r="AB12" s="4"/>
      <c r="AC12" s="4"/>
      <c r="AD12" s="4">
        <f t="shared" si="0"/>
        <v>100</v>
      </c>
      <c r="AE12" s="4">
        <f t="shared" si="1"/>
        <v>100</v>
      </c>
      <c r="AF12" s="4">
        <f t="shared" si="2"/>
        <v>100</v>
      </c>
      <c r="AG12" s="4">
        <f t="shared" si="3"/>
        <v>100</v>
      </c>
      <c r="AH12" s="4">
        <v>1</v>
      </c>
      <c r="AI12" s="4"/>
      <c r="AJ12" s="4">
        <v>100</v>
      </c>
      <c r="AK12" s="4">
        <v>100</v>
      </c>
      <c r="AL12" s="4">
        <f t="shared" si="4"/>
        <v>90</v>
      </c>
      <c r="AM12" s="4">
        <f t="shared" si="5"/>
        <v>90</v>
      </c>
      <c r="AN12" s="4"/>
      <c r="AO12" s="4" t="s">
        <v>555</v>
      </c>
      <c r="AP12" s="4" t="s">
        <v>556</v>
      </c>
    </row>
    <row r="13" spans="1:42" ht="70.05" customHeight="1" x14ac:dyDescent="0.3">
      <c r="A13" s="4" t="s">
        <v>557</v>
      </c>
      <c r="B13" s="4" t="s">
        <v>510</v>
      </c>
      <c r="C13" s="4" t="s">
        <v>558</v>
      </c>
      <c r="D13" s="4" t="s">
        <v>559</v>
      </c>
      <c r="E13" s="4" t="s">
        <v>298</v>
      </c>
      <c r="F13" s="4" t="s">
        <v>105</v>
      </c>
      <c r="G13" s="4" t="s">
        <v>61</v>
      </c>
      <c r="H13" s="4" t="s">
        <v>524</v>
      </c>
      <c r="I13" s="5">
        <v>3068416428</v>
      </c>
      <c r="J13" s="5">
        <v>0</v>
      </c>
      <c r="K13" s="5">
        <v>3068416428</v>
      </c>
      <c r="L13" s="6">
        <v>45658</v>
      </c>
      <c r="M13" s="6">
        <v>45659</v>
      </c>
      <c r="N13" s="6">
        <v>45656</v>
      </c>
      <c r="O13" s="5">
        <v>99.99</v>
      </c>
      <c r="P13" s="5">
        <v>64.38</v>
      </c>
      <c r="Q13" s="4">
        <v>1</v>
      </c>
      <c r="R13" s="4">
        <v>1</v>
      </c>
      <c r="S13" s="6">
        <v>45650</v>
      </c>
      <c r="T13" s="6">
        <v>45849</v>
      </c>
      <c r="U13" s="6">
        <v>45852</v>
      </c>
      <c r="V13" s="6"/>
      <c r="W13" s="6">
        <v>45863</v>
      </c>
      <c r="X13" s="6"/>
      <c r="Y13" s="6"/>
      <c r="Z13" s="6">
        <v>46127</v>
      </c>
      <c r="AA13" s="4"/>
      <c r="AB13" s="4"/>
      <c r="AC13" s="4"/>
      <c r="AD13" s="4" t="str">
        <f t="shared" si="0"/>
        <v/>
      </c>
      <c r="AE13" s="4" t="str">
        <f t="shared" si="1"/>
        <v/>
      </c>
      <c r="AF13" s="4">
        <f t="shared" si="2"/>
        <v>100</v>
      </c>
      <c r="AG13" s="4" t="str">
        <f t="shared" si="3"/>
        <v/>
      </c>
      <c r="AH13" s="4"/>
      <c r="AI13" s="4"/>
      <c r="AJ13" s="4">
        <v>100</v>
      </c>
      <c r="AK13" s="4">
        <v>100</v>
      </c>
      <c r="AL13" s="4">
        <f t="shared" si="4"/>
        <v>100</v>
      </c>
      <c r="AM13" s="4" t="str">
        <f t="shared" si="5"/>
        <v/>
      </c>
      <c r="AN13" s="4"/>
      <c r="AO13" s="4"/>
      <c r="AP13" s="4" t="s">
        <v>97</v>
      </c>
    </row>
    <row r="14" spans="1:42" ht="70.05" customHeight="1" x14ac:dyDescent="0.3">
      <c r="A14" s="4" t="s">
        <v>560</v>
      </c>
      <c r="B14" s="4" t="s">
        <v>552</v>
      </c>
      <c r="C14" s="4" t="s">
        <v>561</v>
      </c>
      <c r="D14" s="4" t="s">
        <v>562</v>
      </c>
      <c r="E14" s="4" t="s">
        <v>282</v>
      </c>
      <c r="F14" s="4" t="s">
        <v>105</v>
      </c>
      <c r="G14" s="4" t="s">
        <v>93</v>
      </c>
      <c r="H14" s="4" t="s">
        <v>563</v>
      </c>
      <c r="I14" s="5">
        <v>63850574205.629997</v>
      </c>
      <c r="J14" s="5">
        <v>0</v>
      </c>
      <c r="K14" s="5">
        <v>63850574205.629997</v>
      </c>
      <c r="L14" s="6">
        <v>45658</v>
      </c>
      <c r="M14" s="6">
        <v>45659</v>
      </c>
      <c r="N14" s="6">
        <v>45656</v>
      </c>
      <c r="O14" s="5">
        <v>27.35</v>
      </c>
      <c r="P14" s="5">
        <v>48.74</v>
      </c>
      <c r="Q14" s="4">
        <v>0</v>
      </c>
      <c r="R14" s="4">
        <v>0</v>
      </c>
      <c r="S14" s="6">
        <v>45653</v>
      </c>
      <c r="T14" s="6">
        <v>45656</v>
      </c>
      <c r="U14" s="6">
        <v>45672</v>
      </c>
      <c r="V14" s="6"/>
      <c r="W14" s="6">
        <v>45672</v>
      </c>
      <c r="X14" s="6"/>
      <c r="Y14" s="6"/>
      <c r="Z14" s="6">
        <v>46096</v>
      </c>
      <c r="AA14" s="4"/>
      <c r="AB14" s="4"/>
      <c r="AC14" s="4"/>
      <c r="AD14" s="4">
        <f t="shared" si="0"/>
        <v>0</v>
      </c>
      <c r="AE14" s="4">
        <f t="shared" si="1"/>
        <v>0</v>
      </c>
      <c r="AF14" s="4">
        <f t="shared" si="2"/>
        <v>100</v>
      </c>
      <c r="AG14" s="4">
        <f t="shared" si="3"/>
        <v>100</v>
      </c>
      <c r="AH14" s="4">
        <v>2</v>
      </c>
      <c r="AI14" s="4"/>
      <c r="AJ14" s="4">
        <v>100</v>
      </c>
      <c r="AK14" s="4">
        <v>100</v>
      </c>
      <c r="AL14" s="4">
        <f t="shared" si="4"/>
        <v>75</v>
      </c>
      <c r="AM14" s="4">
        <f t="shared" si="5"/>
        <v>30</v>
      </c>
      <c r="AN14" s="4"/>
      <c r="AO14" s="4"/>
      <c r="AP14" s="4" t="s">
        <v>240</v>
      </c>
    </row>
    <row r="15" spans="1:42" ht="70.05" customHeight="1" x14ac:dyDescent="0.3">
      <c r="A15" s="4" t="s">
        <v>564</v>
      </c>
      <c r="B15" s="4" t="s">
        <v>510</v>
      </c>
      <c r="C15" s="4" t="s">
        <v>565</v>
      </c>
      <c r="D15" s="4" t="s">
        <v>566</v>
      </c>
      <c r="E15" s="4" t="s">
        <v>307</v>
      </c>
      <c r="F15" s="4" t="s">
        <v>105</v>
      </c>
      <c r="G15" s="4" t="s">
        <v>93</v>
      </c>
      <c r="H15" s="4" t="s">
        <v>524</v>
      </c>
      <c r="I15" s="5">
        <v>11318403530.17</v>
      </c>
      <c r="J15" s="5">
        <v>0</v>
      </c>
      <c r="K15" s="5">
        <v>11318403530.17</v>
      </c>
      <c r="L15" s="6">
        <v>45822</v>
      </c>
      <c r="M15" s="6">
        <v>45823</v>
      </c>
      <c r="N15" s="6">
        <v>45825</v>
      </c>
      <c r="O15" s="5">
        <v>19.2</v>
      </c>
      <c r="P15" s="5">
        <v>40</v>
      </c>
      <c r="Q15" s="4">
        <v>1</v>
      </c>
      <c r="R15" s="4">
        <v>1.06</v>
      </c>
      <c r="S15" s="6">
        <v>45818</v>
      </c>
      <c r="T15" s="6">
        <v>45926</v>
      </c>
      <c r="U15" s="6">
        <v>45981</v>
      </c>
      <c r="V15" s="6"/>
      <c r="W15" s="6">
        <v>46030</v>
      </c>
      <c r="X15" s="6"/>
      <c r="Y15" s="6"/>
      <c r="Z15" s="6">
        <v>46127</v>
      </c>
      <c r="AA15" s="4"/>
      <c r="AB15" s="4"/>
      <c r="AC15" s="4"/>
      <c r="AD15" s="4">
        <f t="shared" si="0"/>
        <v>100</v>
      </c>
      <c r="AE15" s="4">
        <f t="shared" si="1"/>
        <v>100</v>
      </c>
      <c r="AF15" s="4">
        <f t="shared" si="2"/>
        <v>100</v>
      </c>
      <c r="AG15" s="4">
        <f t="shared" si="3"/>
        <v>100</v>
      </c>
      <c r="AH15" s="4"/>
      <c r="AI15" s="4"/>
      <c r="AJ15" s="4">
        <v>100</v>
      </c>
      <c r="AK15" s="4">
        <v>100</v>
      </c>
      <c r="AL15" s="4">
        <f t="shared" si="4"/>
        <v>100</v>
      </c>
      <c r="AM15" s="4">
        <f t="shared" si="5"/>
        <v>100</v>
      </c>
      <c r="AN15" s="4"/>
      <c r="AO15" s="4"/>
      <c r="AP15" s="4" t="s">
        <v>567</v>
      </c>
    </row>
    <row r="16" spans="1:42" ht="70.05" customHeight="1" x14ac:dyDescent="0.3">
      <c r="A16" s="4" t="s">
        <v>568</v>
      </c>
      <c r="B16" s="4" t="s">
        <v>552</v>
      </c>
      <c r="C16" s="4" t="s">
        <v>569</v>
      </c>
      <c r="D16" s="4" t="s">
        <v>570</v>
      </c>
      <c r="E16" s="4" t="s">
        <v>282</v>
      </c>
      <c r="F16" s="4" t="s">
        <v>238</v>
      </c>
      <c r="G16" s="4" t="s">
        <v>400</v>
      </c>
      <c r="H16" s="4" t="s">
        <v>563</v>
      </c>
      <c r="I16" s="5">
        <v>1903272161</v>
      </c>
      <c r="J16" s="5">
        <v>0</v>
      </c>
      <c r="K16" s="5">
        <v>1903272161</v>
      </c>
      <c r="L16" s="6">
        <v>45789</v>
      </c>
      <c r="M16" s="6">
        <v>45790</v>
      </c>
      <c r="N16" s="6">
        <v>45803</v>
      </c>
      <c r="O16" s="5">
        <v>0</v>
      </c>
      <c r="P16" s="5">
        <v>0</v>
      </c>
      <c r="Q16" s="4"/>
      <c r="R16" s="4"/>
      <c r="S16" s="6">
        <v>45785</v>
      </c>
      <c r="T16" s="6">
        <v>45838</v>
      </c>
      <c r="U16" s="6">
        <v>46058</v>
      </c>
      <c r="V16" s="6">
        <v>46058</v>
      </c>
      <c r="W16" s="6"/>
      <c r="X16" s="6"/>
      <c r="Y16" s="6"/>
      <c r="Z16" s="6">
        <v>46096</v>
      </c>
      <c r="AA16" s="4"/>
      <c r="AB16" s="4"/>
      <c r="AC16" s="4">
        <v>38</v>
      </c>
      <c r="AD16" s="4" t="str">
        <f t="shared" si="0"/>
        <v/>
      </c>
      <c r="AE16" s="4" t="str">
        <f t="shared" si="1"/>
        <v/>
      </c>
      <c r="AF16" s="4">
        <f t="shared" si="2"/>
        <v>100</v>
      </c>
      <c r="AG16" s="4" t="str">
        <f t="shared" si="3"/>
        <v/>
      </c>
      <c r="AH16" s="4"/>
      <c r="AI16" s="4">
        <v>75.862068965517238</v>
      </c>
      <c r="AJ16" s="4">
        <v>100</v>
      </c>
      <c r="AK16" s="4">
        <v>100</v>
      </c>
      <c r="AL16" s="4">
        <f t="shared" si="4"/>
        <v>100</v>
      </c>
      <c r="AM16" s="4">
        <f t="shared" si="5"/>
        <v>0</v>
      </c>
      <c r="AN16" s="4"/>
      <c r="AO16" s="4"/>
      <c r="AP16" s="4" t="s">
        <v>361</v>
      </c>
    </row>
    <row r="17" spans="1:42" ht="70.05" customHeight="1" x14ac:dyDescent="0.3">
      <c r="A17" s="4" t="s">
        <v>571</v>
      </c>
      <c r="B17" s="4" t="s">
        <v>552</v>
      </c>
      <c r="C17" s="4" t="s">
        <v>572</v>
      </c>
      <c r="D17" s="4" t="s">
        <v>573</v>
      </c>
      <c r="E17" s="4" t="s">
        <v>282</v>
      </c>
      <c r="F17" s="4" t="s">
        <v>238</v>
      </c>
      <c r="G17" s="4" t="s">
        <v>93</v>
      </c>
      <c r="H17" s="4" t="s">
        <v>563</v>
      </c>
      <c r="I17" s="5">
        <v>1484402616</v>
      </c>
      <c r="J17" s="5">
        <v>400000000</v>
      </c>
      <c r="K17" s="5">
        <v>1884402616</v>
      </c>
      <c r="L17" s="6"/>
      <c r="M17" s="6"/>
      <c r="N17" s="6">
        <v>45803</v>
      </c>
      <c r="O17" s="5">
        <v>9.6000000000000002E-2</v>
      </c>
      <c r="P17" s="5">
        <v>22.11</v>
      </c>
      <c r="Q17" s="4"/>
      <c r="R17" s="4"/>
      <c r="S17" s="6">
        <v>45796</v>
      </c>
      <c r="T17" s="6">
        <v>45947</v>
      </c>
      <c r="U17" s="6">
        <v>46112</v>
      </c>
      <c r="V17" s="6"/>
      <c r="W17" s="6">
        <v>46120</v>
      </c>
      <c r="X17" s="6"/>
      <c r="Y17" s="6"/>
      <c r="Z17" s="6">
        <v>46096</v>
      </c>
      <c r="AA17" s="4"/>
      <c r="AB17" s="4"/>
      <c r="AC17" s="4"/>
      <c r="AD17" s="4">
        <f t="shared" si="0"/>
        <v>0</v>
      </c>
      <c r="AE17" s="4">
        <f t="shared" si="1"/>
        <v>0</v>
      </c>
      <c r="AF17" s="4">
        <f t="shared" si="2"/>
        <v>100</v>
      </c>
      <c r="AG17" s="4">
        <f t="shared" si="3"/>
        <v>100</v>
      </c>
      <c r="AH17" s="4"/>
      <c r="AI17" s="4"/>
      <c r="AJ17" s="4">
        <v>100</v>
      </c>
      <c r="AK17" s="4">
        <v>100</v>
      </c>
      <c r="AL17" s="4">
        <f t="shared" si="4"/>
        <v>100</v>
      </c>
      <c r="AM17" s="4">
        <f t="shared" si="5"/>
        <v>40</v>
      </c>
      <c r="AN17" s="4"/>
      <c r="AO17" s="4"/>
      <c r="AP17" s="4" t="s">
        <v>574</v>
      </c>
    </row>
    <row r="18" spans="1:42" ht="70.05" customHeight="1" x14ac:dyDescent="0.3">
      <c r="A18" s="4" t="s">
        <v>575</v>
      </c>
      <c r="B18" s="4" t="s">
        <v>510</v>
      </c>
      <c r="C18" s="4" t="s">
        <v>576</v>
      </c>
      <c r="D18" s="4" t="s">
        <v>577</v>
      </c>
      <c r="E18" s="4" t="s">
        <v>307</v>
      </c>
      <c r="F18" s="4" t="s">
        <v>578</v>
      </c>
      <c r="G18" s="4" t="s">
        <v>373</v>
      </c>
      <c r="H18" s="4" t="s">
        <v>579</v>
      </c>
      <c r="I18" s="5">
        <v>627486059.86000001</v>
      </c>
      <c r="J18" s="5">
        <v>1650000000</v>
      </c>
      <c r="K18" s="5">
        <v>2277486059.8600001</v>
      </c>
      <c r="L18" s="6">
        <v>46118</v>
      </c>
      <c r="M18" s="6">
        <v>46119</v>
      </c>
      <c r="N18" s="6">
        <v>46119</v>
      </c>
      <c r="O18" s="5"/>
      <c r="P18" s="5"/>
      <c r="Q18" s="4"/>
      <c r="R18" s="4"/>
      <c r="S18" s="6">
        <v>46107</v>
      </c>
      <c r="T18" s="6"/>
      <c r="U18" s="6"/>
      <c r="V18" s="6"/>
      <c r="W18" s="6"/>
      <c r="X18" s="6"/>
      <c r="Y18" s="6"/>
      <c r="Z18" s="6">
        <v>46127</v>
      </c>
      <c r="AA18" s="4">
        <v>20</v>
      </c>
      <c r="AB18" s="4"/>
      <c r="AC18" s="4"/>
      <c r="AD18" s="4" t="str">
        <f t="shared" si="0"/>
        <v/>
      </c>
      <c r="AE18" s="4" t="str">
        <f t="shared" si="1"/>
        <v/>
      </c>
      <c r="AF18" s="4">
        <f t="shared" si="2"/>
        <v>100</v>
      </c>
      <c r="AG18" s="4" t="str">
        <f t="shared" si="3"/>
        <v/>
      </c>
      <c r="AH18" s="4"/>
      <c r="AI18" s="4">
        <v>100</v>
      </c>
      <c r="AJ18" s="4">
        <v>100</v>
      </c>
      <c r="AK18" s="4">
        <v>100</v>
      </c>
      <c r="AL18" s="4">
        <f t="shared" si="4"/>
        <v>100</v>
      </c>
      <c r="AM18" s="4" t="str">
        <f t="shared" si="5"/>
        <v/>
      </c>
      <c r="AN18" s="4"/>
      <c r="AO18" s="4"/>
      <c r="AP18" s="4" t="s">
        <v>580</v>
      </c>
    </row>
  </sheetData>
  <mergeCells count="3">
    <mergeCell ref="A1:N1"/>
    <mergeCell ref="O1:AH1"/>
    <mergeCell ref="AI1:AP1"/>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104"/>
  <sheetViews>
    <sheetView workbookViewId="0"/>
  </sheetViews>
  <sheetFormatPr baseColWidth="10" defaultColWidth="8.88671875" defaultRowHeight="14.4" x14ac:dyDescent="0.3"/>
  <cols>
    <col min="1" max="19" width="25.6640625" customWidth="1"/>
  </cols>
  <sheetData>
    <row r="1" spans="1:19" ht="40.049999999999997" customHeight="1" x14ac:dyDescent="0.3">
      <c r="A1" s="7" t="s">
        <v>0</v>
      </c>
      <c r="B1" s="7"/>
      <c r="C1" s="7"/>
      <c r="D1" s="7"/>
      <c r="E1" s="7"/>
      <c r="F1" s="7"/>
      <c r="G1" s="7"/>
      <c r="H1" s="7"/>
      <c r="I1" s="7"/>
      <c r="J1" s="7"/>
      <c r="K1" s="7"/>
      <c r="L1" s="7"/>
      <c r="M1" s="7"/>
      <c r="N1" s="7"/>
      <c r="O1" s="7"/>
      <c r="P1" s="7"/>
      <c r="Q1" s="7"/>
      <c r="R1" s="7"/>
      <c r="S1" s="7"/>
    </row>
    <row r="2" spans="1:19" ht="70.05" customHeight="1" x14ac:dyDescent="0.3">
      <c r="A2" s="1" t="s">
        <v>3</v>
      </c>
      <c r="B2" s="1" t="s">
        <v>503</v>
      </c>
      <c r="C2" s="1" t="s">
        <v>504</v>
      </c>
      <c r="D2" s="1" t="s">
        <v>505</v>
      </c>
      <c r="E2" s="1" t="s">
        <v>7</v>
      </c>
      <c r="F2" s="1" t="s">
        <v>506</v>
      </c>
      <c r="G2" s="1" t="s">
        <v>9</v>
      </c>
      <c r="H2" s="1" t="s">
        <v>10</v>
      </c>
      <c r="I2" s="1" t="s">
        <v>13</v>
      </c>
      <c r="J2" s="1" t="s">
        <v>15</v>
      </c>
      <c r="K2" s="1" t="s">
        <v>507</v>
      </c>
      <c r="L2" s="1" t="s">
        <v>27</v>
      </c>
      <c r="M2" s="1" t="s">
        <v>21</v>
      </c>
      <c r="N2" s="1" t="s">
        <v>22</v>
      </c>
      <c r="O2" s="1" t="s">
        <v>31</v>
      </c>
      <c r="P2" s="1" t="s">
        <v>508</v>
      </c>
      <c r="Q2" s="1" t="s">
        <v>24</v>
      </c>
      <c r="R2" s="1" t="s">
        <v>581</v>
      </c>
      <c r="S2" s="3" t="s">
        <v>54</v>
      </c>
    </row>
    <row r="3" spans="1:19" ht="70.05" customHeight="1" x14ac:dyDescent="0.3">
      <c r="A3" s="4" t="s">
        <v>582</v>
      </c>
      <c r="B3" s="4" t="s">
        <v>583</v>
      </c>
      <c r="C3" s="4" t="s">
        <v>584</v>
      </c>
      <c r="D3" s="4" t="s">
        <v>585</v>
      </c>
      <c r="E3" s="4" t="s">
        <v>102</v>
      </c>
      <c r="F3" s="4" t="s">
        <v>64</v>
      </c>
      <c r="G3" s="4" t="s">
        <v>61</v>
      </c>
      <c r="H3" s="4" t="s">
        <v>586</v>
      </c>
      <c r="I3" s="5">
        <v>22526692745</v>
      </c>
      <c r="J3" s="5">
        <v>0</v>
      </c>
      <c r="K3" s="5">
        <v>22526692745</v>
      </c>
      <c r="L3" s="6">
        <v>41201</v>
      </c>
      <c r="M3" s="6"/>
      <c r="N3" s="6">
        <v>41829</v>
      </c>
      <c r="O3" s="6">
        <v>42072</v>
      </c>
      <c r="P3" s="5">
        <v>100</v>
      </c>
      <c r="Q3" s="5">
        <v>99.82</v>
      </c>
      <c r="R3" s="4"/>
      <c r="S3" s="4" t="s">
        <v>587</v>
      </c>
    </row>
    <row r="4" spans="1:19" ht="70.05" customHeight="1" x14ac:dyDescent="0.3">
      <c r="A4" s="4" t="s">
        <v>588</v>
      </c>
      <c r="B4" s="4" t="s">
        <v>589</v>
      </c>
      <c r="C4" s="4" t="s">
        <v>590</v>
      </c>
      <c r="D4" s="4" t="s">
        <v>591</v>
      </c>
      <c r="E4" s="4" t="s">
        <v>102</v>
      </c>
      <c r="F4" s="4" t="s">
        <v>238</v>
      </c>
      <c r="G4" s="4" t="s">
        <v>61</v>
      </c>
      <c r="H4" s="4" t="s">
        <v>514</v>
      </c>
      <c r="I4" s="5">
        <v>924979909</v>
      </c>
      <c r="J4" s="5">
        <v>30000000</v>
      </c>
      <c r="K4" s="5">
        <v>954979909</v>
      </c>
      <c r="L4" s="6">
        <v>41191</v>
      </c>
      <c r="M4" s="6"/>
      <c r="N4" s="6">
        <v>41304</v>
      </c>
      <c r="O4" s="6">
        <v>41452</v>
      </c>
      <c r="P4" s="5">
        <v>100</v>
      </c>
      <c r="Q4" s="5">
        <v>0</v>
      </c>
      <c r="R4" s="4"/>
      <c r="S4" s="4" t="s">
        <v>592</v>
      </c>
    </row>
    <row r="5" spans="1:19" ht="70.05" customHeight="1" x14ac:dyDescent="0.3">
      <c r="A5" s="4" t="s">
        <v>593</v>
      </c>
      <c r="B5" s="4" t="s">
        <v>594</v>
      </c>
      <c r="C5" s="4" t="s">
        <v>595</v>
      </c>
      <c r="D5" s="4" t="s">
        <v>596</v>
      </c>
      <c r="E5" s="4" t="s">
        <v>102</v>
      </c>
      <c r="F5" s="4" t="s">
        <v>238</v>
      </c>
      <c r="G5" s="4" t="s">
        <v>61</v>
      </c>
      <c r="H5" s="4" t="s">
        <v>586</v>
      </c>
      <c r="I5" s="5">
        <v>999998309</v>
      </c>
      <c r="J5" s="5">
        <v>11000000</v>
      </c>
      <c r="K5" s="5">
        <v>1010998309</v>
      </c>
      <c r="L5" s="6">
        <v>41191</v>
      </c>
      <c r="M5" s="6"/>
      <c r="N5" s="6">
        <v>41276</v>
      </c>
      <c r="O5" s="6">
        <v>41355</v>
      </c>
      <c r="P5" s="5">
        <v>98.9</v>
      </c>
      <c r="Q5" s="5">
        <v>98.2</v>
      </c>
      <c r="R5" s="4"/>
      <c r="S5" s="4" t="s">
        <v>597</v>
      </c>
    </row>
    <row r="6" spans="1:19" ht="70.05" customHeight="1" x14ac:dyDescent="0.3">
      <c r="A6" s="4" t="s">
        <v>598</v>
      </c>
      <c r="B6" s="4" t="s">
        <v>599</v>
      </c>
      <c r="C6" s="4" t="s">
        <v>600</v>
      </c>
      <c r="D6" s="4" t="s">
        <v>601</v>
      </c>
      <c r="E6" s="4" t="s">
        <v>102</v>
      </c>
      <c r="F6" s="4" t="s">
        <v>64</v>
      </c>
      <c r="G6" s="4" t="s">
        <v>61</v>
      </c>
      <c r="H6" s="4" t="s">
        <v>586</v>
      </c>
      <c r="I6" s="5">
        <v>16567304387</v>
      </c>
      <c r="J6" s="5">
        <v>0</v>
      </c>
      <c r="K6" s="5">
        <v>16567304387</v>
      </c>
      <c r="L6" s="6">
        <v>41533</v>
      </c>
      <c r="M6" s="6"/>
      <c r="N6" s="6">
        <v>41537</v>
      </c>
      <c r="O6" s="6">
        <v>41669</v>
      </c>
      <c r="P6" s="5">
        <v>100</v>
      </c>
      <c r="Q6" s="5">
        <v>99.98</v>
      </c>
      <c r="R6" s="4"/>
      <c r="S6" s="4" t="s">
        <v>602</v>
      </c>
    </row>
    <row r="7" spans="1:19" ht="70.05" customHeight="1" x14ac:dyDescent="0.3">
      <c r="A7" s="4" t="s">
        <v>603</v>
      </c>
      <c r="B7" s="4" t="s">
        <v>594</v>
      </c>
      <c r="C7" s="4" t="s">
        <v>604</v>
      </c>
      <c r="D7" s="4" t="s">
        <v>605</v>
      </c>
      <c r="E7" s="4" t="s">
        <v>102</v>
      </c>
      <c r="F7" s="4" t="s">
        <v>606</v>
      </c>
      <c r="G7" s="4" t="s">
        <v>61</v>
      </c>
      <c r="H7" s="4" t="s">
        <v>514</v>
      </c>
      <c r="I7" s="5">
        <v>12429000000</v>
      </c>
      <c r="J7" s="5">
        <v>159110083</v>
      </c>
      <c r="K7" s="5">
        <v>12588110083</v>
      </c>
      <c r="L7" s="6">
        <v>41907</v>
      </c>
      <c r="M7" s="6"/>
      <c r="N7" s="6">
        <v>42821</v>
      </c>
      <c r="O7" s="6">
        <v>42226</v>
      </c>
      <c r="P7" s="5">
        <v>100</v>
      </c>
      <c r="Q7" s="5">
        <v>99.51</v>
      </c>
      <c r="R7" s="4"/>
      <c r="S7" s="4" t="s">
        <v>597</v>
      </c>
    </row>
    <row r="8" spans="1:19" ht="70.05" customHeight="1" x14ac:dyDescent="0.3">
      <c r="A8" s="4" t="s">
        <v>607</v>
      </c>
      <c r="B8" s="4" t="s">
        <v>608</v>
      </c>
      <c r="C8" s="4" t="s">
        <v>609</v>
      </c>
      <c r="D8" s="4" t="s">
        <v>610</v>
      </c>
      <c r="E8" s="4" t="s">
        <v>388</v>
      </c>
      <c r="F8" s="4" t="s">
        <v>64</v>
      </c>
      <c r="G8" s="4" t="s">
        <v>93</v>
      </c>
      <c r="H8" s="4" t="s">
        <v>530</v>
      </c>
      <c r="I8" s="5">
        <v>14996018261</v>
      </c>
      <c r="J8" s="5">
        <v>0</v>
      </c>
      <c r="K8" s="5">
        <v>14996018261</v>
      </c>
      <c r="L8" s="6">
        <v>41376</v>
      </c>
      <c r="M8" s="6"/>
      <c r="N8" s="6">
        <v>41380</v>
      </c>
      <c r="O8" s="6">
        <v>41676</v>
      </c>
      <c r="P8" s="5">
        <v>45.35</v>
      </c>
      <c r="Q8" s="5">
        <v>49.54</v>
      </c>
      <c r="R8" s="4"/>
      <c r="S8" s="4" t="s">
        <v>611</v>
      </c>
    </row>
    <row r="9" spans="1:19" ht="70.05" customHeight="1" x14ac:dyDescent="0.3">
      <c r="A9" s="4" t="s">
        <v>612</v>
      </c>
      <c r="B9" s="4" t="s">
        <v>613</v>
      </c>
      <c r="C9" s="4" t="s">
        <v>614</v>
      </c>
      <c r="D9" s="4" t="s">
        <v>615</v>
      </c>
      <c r="E9" s="4" t="s">
        <v>102</v>
      </c>
      <c r="F9" s="4" t="s">
        <v>616</v>
      </c>
      <c r="G9" s="4" t="s">
        <v>61</v>
      </c>
      <c r="H9" s="4" t="s">
        <v>524</v>
      </c>
      <c r="I9" s="5">
        <v>14913362760</v>
      </c>
      <c r="J9" s="5">
        <v>0</v>
      </c>
      <c r="K9" s="5">
        <v>14913362760</v>
      </c>
      <c r="L9" s="6">
        <v>41907</v>
      </c>
      <c r="M9" s="6"/>
      <c r="N9" s="6">
        <v>42990</v>
      </c>
      <c r="O9" s="6">
        <v>42023</v>
      </c>
      <c r="P9" s="5">
        <v>99.99</v>
      </c>
      <c r="Q9" s="5">
        <v>99.56</v>
      </c>
      <c r="R9" s="4"/>
      <c r="S9" s="4" t="s">
        <v>323</v>
      </c>
    </row>
    <row r="10" spans="1:19" ht="70.05" customHeight="1" x14ac:dyDescent="0.3">
      <c r="A10" s="4" t="s">
        <v>617</v>
      </c>
      <c r="B10" s="4" t="s">
        <v>618</v>
      </c>
      <c r="C10" s="4" t="s">
        <v>619</v>
      </c>
      <c r="D10" s="4" t="s">
        <v>620</v>
      </c>
      <c r="E10" s="4" t="s">
        <v>102</v>
      </c>
      <c r="F10" s="4" t="s">
        <v>621</v>
      </c>
      <c r="G10" s="4" t="s">
        <v>61</v>
      </c>
      <c r="H10" s="4" t="s">
        <v>514</v>
      </c>
      <c r="I10" s="5">
        <v>7037696704</v>
      </c>
      <c r="J10" s="5">
        <v>700920310</v>
      </c>
      <c r="K10" s="5">
        <v>7738617014</v>
      </c>
      <c r="L10" s="6">
        <v>41907</v>
      </c>
      <c r="M10" s="6"/>
      <c r="N10" s="6">
        <v>42006</v>
      </c>
      <c r="O10" s="6">
        <v>42060</v>
      </c>
      <c r="P10" s="5">
        <v>100</v>
      </c>
      <c r="Q10" s="5">
        <v>85.88</v>
      </c>
      <c r="R10" s="4"/>
      <c r="S10" s="4" t="s">
        <v>622</v>
      </c>
    </row>
    <row r="11" spans="1:19" ht="70.05" customHeight="1" x14ac:dyDescent="0.3">
      <c r="A11" s="4" t="s">
        <v>623</v>
      </c>
      <c r="B11" s="4" t="s">
        <v>624</v>
      </c>
      <c r="C11" s="4" t="s">
        <v>625</v>
      </c>
      <c r="D11" s="4" t="s">
        <v>626</v>
      </c>
      <c r="E11" s="4" t="s">
        <v>74</v>
      </c>
      <c r="F11" s="4" t="s">
        <v>116</v>
      </c>
      <c r="G11" s="4" t="s">
        <v>61</v>
      </c>
      <c r="H11" s="4" t="s">
        <v>514</v>
      </c>
      <c r="I11" s="5">
        <v>13800000000</v>
      </c>
      <c r="J11" s="5">
        <v>2151400000</v>
      </c>
      <c r="K11" s="5">
        <v>15951400000</v>
      </c>
      <c r="L11" s="6">
        <v>41789</v>
      </c>
      <c r="M11" s="6"/>
      <c r="N11" s="6">
        <v>44936</v>
      </c>
      <c r="O11" s="6">
        <v>42128</v>
      </c>
      <c r="P11" s="5">
        <v>95.56</v>
      </c>
      <c r="Q11" s="5">
        <v>89.9</v>
      </c>
      <c r="R11" s="4"/>
      <c r="S11" s="4" t="s">
        <v>97</v>
      </c>
    </row>
    <row r="12" spans="1:19" ht="70.05" customHeight="1" x14ac:dyDescent="0.3">
      <c r="A12" s="4" t="s">
        <v>627</v>
      </c>
      <c r="B12" s="4" t="s">
        <v>628</v>
      </c>
      <c r="C12" s="4" t="s">
        <v>629</v>
      </c>
      <c r="D12" s="4" t="s">
        <v>630</v>
      </c>
      <c r="E12" s="4" t="s">
        <v>102</v>
      </c>
      <c r="F12" s="4" t="s">
        <v>631</v>
      </c>
      <c r="G12" s="4" t="s">
        <v>61</v>
      </c>
      <c r="H12" s="4" t="s">
        <v>514</v>
      </c>
      <c r="I12" s="5">
        <v>16094650077</v>
      </c>
      <c r="J12" s="5">
        <v>312767700</v>
      </c>
      <c r="K12" s="5">
        <v>16407417777</v>
      </c>
      <c r="L12" s="6">
        <v>43389</v>
      </c>
      <c r="M12" s="6"/>
      <c r="N12" s="6">
        <v>43495</v>
      </c>
      <c r="O12" s="6">
        <v>43865</v>
      </c>
      <c r="P12" s="5">
        <v>99.69</v>
      </c>
      <c r="Q12" s="5">
        <v>97.78</v>
      </c>
      <c r="R12" s="4"/>
      <c r="S12" s="4" t="s">
        <v>69</v>
      </c>
    </row>
    <row r="13" spans="1:19" ht="70.05" customHeight="1" x14ac:dyDescent="0.3">
      <c r="A13" s="4" t="s">
        <v>632</v>
      </c>
      <c r="B13" s="4" t="s">
        <v>633</v>
      </c>
      <c r="C13" s="4" t="s">
        <v>634</v>
      </c>
      <c r="D13" s="4" t="s">
        <v>635</v>
      </c>
      <c r="E13" s="4" t="s">
        <v>102</v>
      </c>
      <c r="F13" s="4" t="s">
        <v>636</v>
      </c>
      <c r="G13" s="4" t="s">
        <v>61</v>
      </c>
      <c r="H13" s="4" t="s">
        <v>637</v>
      </c>
      <c r="I13" s="5">
        <v>54337268559</v>
      </c>
      <c r="J13" s="5">
        <v>8559008426</v>
      </c>
      <c r="K13" s="5">
        <v>62896276985</v>
      </c>
      <c r="L13" s="6">
        <v>43165</v>
      </c>
      <c r="M13" s="6"/>
      <c r="N13" s="6">
        <v>43171</v>
      </c>
      <c r="O13" s="6">
        <v>43410</v>
      </c>
      <c r="P13" s="5">
        <v>100</v>
      </c>
      <c r="Q13" s="5">
        <v>99.87</v>
      </c>
      <c r="R13" s="4"/>
      <c r="S13" s="4" t="s">
        <v>638</v>
      </c>
    </row>
    <row r="14" spans="1:19" ht="70.05" customHeight="1" x14ac:dyDescent="0.3">
      <c r="A14" s="4" t="s">
        <v>639</v>
      </c>
      <c r="B14" s="4" t="s">
        <v>640</v>
      </c>
      <c r="C14" s="4" t="s">
        <v>641</v>
      </c>
      <c r="D14" s="4" t="s">
        <v>642</v>
      </c>
      <c r="E14" s="4" t="s">
        <v>102</v>
      </c>
      <c r="F14" s="4" t="s">
        <v>643</v>
      </c>
      <c r="G14" s="4" t="s">
        <v>93</v>
      </c>
      <c r="H14" s="4" t="s">
        <v>514</v>
      </c>
      <c r="I14" s="5">
        <v>5261488233</v>
      </c>
      <c r="J14" s="5">
        <v>100000000</v>
      </c>
      <c r="K14" s="5">
        <v>5361488233</v>
      </c>
      <c r="L14" s="6">
        <v>43636</v>
      </c>
      <c r="M14" s="6"/>
      <c r="N14" s="6">
        <v>43955</v>
      </c>
      <c r="O14" s="6">
        <v>44138</v>
      </c>
      <c r="P14" s="5">
        <v>97.82</v>
      </c>
      <c r="Q14" s="5">
        <v>95.45</v>
      </c>
      <c r="R14" s="4"/>
      <c r="S14" s="4" t="s">
        <v>97</v>
      </c>
    </row>
    <row r="15" spans="1:19" ht="70.05" customHeight="1" x14ac:dyDescent="0.3">
      <c r="A15" s="4" t="s">
        <v>644</v>
      </c>
      <c r="B15" s="4" t="s">
        <v>645</v>
      </c>
      <c r="C15" s="4" t="s">
        <v>646</v>
      </c>
      <c r="D15" s="4" t="s">
        <v>647</v>
      </c>
      <c r="E15" s="4" t="s">
        <v>153</v>
      </c>
      <c r="F15" s="4" t="s">
        <v>64</v>
      </c>
      <c r="G15" s="4" t="s">
        <v>61</v>
      </c>
      <c r="H15" s="4" t="s">
        <v>514</v>
      </c>
      <c r="I15" s="5">
        <v>8077068482</v>
      </c>
      <c r="J15" s="5">
        <v>0</v>
      </c>
      <c r="K15" s="5">
        <v>8077068482</v>
      </c>
      <c r="L15" s="6">
        <v>43829</v>
      </c>
      <c r="M15" s="6"/>
      <c r="N15" s="6">
        <v>43843</v>
      </c>
      <c r="O15" s="6">
        <v>44042</v>
      </c>
      <c r="P15" s="5">
        <v>99.99</v>
      </c>
      <c r="Q15" s="5">
        <v>99.97</v>
      </c>
      <c r="R15" s="4"/>
      <c r="S15" s="4" t="s">
        <v>648</v>
      </c>
    </row>
    <row r="16" spans="1:19" ht="70.05" customHeight="1" x14ac:dyDescent="0.3">
      <c r="A16" s="4" t="s">
        <v>649</v>
      </c>
      <c r="B16" s="4" t="s">
        <v>650</v>
      </c>
      <c r="C16" s="4" t="s">
        <v>651</v>
      </c>
      <c r="D16" s="4" t="s">
        <v>652</v>
      </c>
      <c r="E16" s="4" t="s">
        <v>74</v>
      </c>
      <c r="F16" s="4" t="s">
        <v>116</v>
      </c>
      <c r="G16" s="4" t="s">
        <v>93</v>
      </c>
      <c r="H16" s="4" t="s">
        <v>524</v>
      </c>
      <c r="I16" s="5">
        <v>7750000000</v>
      </c>
      <c r="J16" s="5">
        <v>0</v>
      </c>
      <c r="K16" s="5">
        <v>7750000000</v>
      </c>
      <c r="L16" s="6">
        <v>43781</v>
      </c>
      <c r="M16" s="6"/>
      <c r="N16" s="6">
        <v>43809</v>
      </c>
      <c r="O16" s="6">
        <v>43831</v>
      </c>
      <c r="P16" s="5">
        <v>97.9</v>
      </c>
      <c r="Q16" s="5">
        <v>97.25</v>
      </c>
      <c r="R16" s="4"/>
      <c r="S16" s="4" t="s">
        <v>653</v>
      </c>
    </row>
    <row r="17" spans="1:19" ht="70.05" customHeight="1" x14ac:dyDescent="0.3">
      <c r="A17" s="4" t="s">
        <v>654</v>
      </c>
      <c r="B17" s="4" t="s">
        <v>655</v>
      </c>
      <c r="C17" s="4" t="s">
        <v>656</v>
      </c>
      <c r="D17" s="4" t="s">
        <v>657</v>
      </c>
      <c r="E17" s="4" t="s">
        <v>74</v>
      </c>
      <c r="F17" s="4" t="s">
        <v>116</v>
      </c>
      <c r="G17" s="4" t="s">
        <v>93</v>
      </c>
      <c r="H17" s="4" t="s">
        <v>563</v>
      </c>
      <c r="I17" s="5">
        <v>1027100000</v>
      </c>
      <c r="J17" s="5">
        <v>100575000</v>
      </c>
      <c r="K17" s="5">
        <v>1127675000</v>
      </c>
      <c r="L17" s="6">
        <v>43781</v>
      </c>
      <c r="M17" s="6"/>
      <c r="N17" s="6">
        <v>43948</v>
      </c>
      <c r="O17" s="6">
        <v>44223</v>
      </c>
      <c r="P17" s="5">
        <v>96.9</v>
      </c>
      <c r="Q17" s="5">
        <v>97.16</v>
      </c>
      <c r="R17" s="4"/>
      <c r="S17" s="4" t="s">
        <v>658</v>
      </c>
    </row>
    <row r="18" spans="1:19" ht="70.05" customHeight="1" x14ac:dyDescent="0.3">
      <c r="A18" s="4" t="s">
        <v>659</v>
      </c>
      <c r="B18" s="4" t="s">
        <v>660</v>
      </c>
      <c r="C18" s="4" t="s">
        <v>661</v>
      </c>
      <c r="D18" s="4" t="s">
        <v>662</v>
      </c>
      <c r="E18" s="4" t="s">
        <v>74</v>
      </c>
      <c r="F18" s="4" t="s">
        <v>116</v>
      </c>
      <c r="G18" s="4" t="s">
        <v>93</v>
      </c>
      <c r="H18" s="4" t="s">
        <v>524</v>
      </c>
      <c r="I18" s="5">
        <v>9491491960</v>
      </c>
      <c r="J18" s="5">
        <v>443750000</v>
      </c>
      <c r="K18" s="5">
        <v>9935241960</v>
      </c>
      <c r="L18" s="6">
        <v>43781</v>
      </c>
      <c r="M18" s="6"/>
      <c r="N18" s="6">
        <v>43872</v>
      </c>
      <c r="O18" s="6">
        <v>43979</v>
      </c>
      <c r="P18" s="5">
        <v>85.67</v>
      </c>
      <c r="Q18" s="5">
        <v>86.62</v>
      </c>
      <c r="R18" s="4"/>
      <c r="S18" s="4" t="s">
        <v>663</v>
      </c>
    </row>
    <row r="19" spans="1:19" ht="70.05" customHeight="1" x14ac:dyDescent="0.3">
      <c r="A19" s="4" t="s">
        <v>664</v>
      </c>
      <c r="B19" s="4" t="s">
        <v>665</v>
      </c>
      <c r="C19" s="4" t="s">
        <v>666</v>
      </c>
      <c r="D19" s="4" t="s">
        <v>667</v>
      </c>
      <c r="E19" s="4" t="s">
        <v>74</v>
      </c>
      <c r="F19" s="4" t="s">
        <v>116</v>
      </c>
      <c r="G19" s="4" t="s">
        <v>93</v>
      </c>
      <c r="H19" s="4" t="s">
        <v>524</v>
      </c>
      <c r="I19" s="5">
        <v>4024500000</v>
      </c>
      <c r="J19" s="5">
        <v>177500000</v>
      </c>
      <c r="K19" s="5">
        <v>4202000000</v>
      </c>
      <c r="L19" s="6">
        <v>43781</v>
      </c>
      <c r="M19" s="6"/>
      <c r="N19" s="6">
        <v>43812</v>
      </c>
      <c r="O19" s="6">
        <v>43958</v>
      </c>
      <c r="P19" s="5">
        <v>96.81</v>
      </c>
      <c r="Q19" s="5">
        <v>77.59</v>
      </c>
      <c r="R19" s="4"/>
      <c r="S19" s="4" t="s">
        <v>668</v>
      </c>
    </row>
    <row r="20" spans="1:19" ht="70.05" customHeight="1" x14ac:dyDescent="0.3">
      <c r="A20" s="4" t="s">
        <v>669</v>
      </c>
      <c r="B20" s="4" t="s">
        <v>670</v>
      </c>
      <c r="C20" s="4" t="s">
        <v>671</v>
      </c>
      <c r="D20" s="4" t="s">
        <v>672</v>
      </c>
      <c r="E20" s="4" t="s">
        <v>74</v>
      </c>
      <c r="F20" s="4" t="s">
        <v>77</v>
      </c>
      <c r="G20" s="4" t="s">
        <v>93</v>
      </c>
      <c r="H20" s="4" t="s">
        <v>524</v>
      </c>
      <c r="I20" s="5">
        <v>20233937500</v>
      </c>
      <c r="J20" s="5">
        <v>928127000</v>
      </c>
      <c r="K20" s="5">
        <v>21162064500</v>
      </c>
      <c r="L20" s="6">
        <v>43781</v>
      </c>
      <c r="M20" s="6"/>
      <c r="N20" s="6">
        <v>43902</v>
      </c>
      <c r="O20" s="6">
        <v>43943</v>
      </c>
      <c r="P20" s="5">
        <v>82.93</v>
      </c>
      <c r="Q20" s="5">
        <v>181.2</v>
      </c>
      <c r="R20" s="4"/>
      <c r="S20" s="4" t="s">
        <v>673</v>
      </c>
    </row>
    <row r="21" spans="1:19" ht="70.05" customHeight="1" x14ac:dyDescent="0.3">
      <c r="A21" s="4" t="s">
        <v>674</v>
      </c>
      <c r="B21" s="4" t="s">
        <v>675</v>
      </c>
      <c r="C21" s="4" t="s">
        <v>676</v>
      </c>
      <c r="D21" s="4" t="s">
        <v>677</v>
      </c>
      <c r="E21" s="4" t="s">
        <v>74</v>
      </c>
      <c r="F21" s="4" t="s">
        <v>77</v>
      </c>
      <c r="G21" s="4" t="s">
        <v>93</v>
      </c>
      <c r="H21" s="4" t="s">
        <v>524</v>
      </c>
      <c r="I21" s="5">
        <v>6524500000</v>
      </c>
      <c r="J21" s="5">
        <v>0</v>
      </c>
      <c r="K21" s="5">
        <v>6524500000</v>
      </c>
      <c r="L21" s="6">
        <v>43781</v>
      </c>
      <c r="M21" s="6"/>
      <c r="N21" s="6">
        <v>43969</v>
      </c>
      <c r="O21" s="6">
        <v>43949</v>
      </c>
      <c r="P21" s="5">
        <v>89.97</v>
      </c>
      <c r="Q21" s="5">
        <v>89.3</v>
      </c>
      <c r="R21" s="4"/>
      <c r="S21" s="4" t="s">
        <v>97</v>
      </c>
    </row>
    <row r="22" spans="1:19" ht="70.05" customHeight="1" x14ac:dyDescent="0.3">
      <c r="A22" s="4" t="s">
        <v>678</v>
      </c>
      <c r="B22" s="4" t="s">
        <v>679</v>
      </c>
      <c r="C22" s="4" t="s">
        <v>680</v>
      </c>
      <c r="D22" s="4" t="s">
        <v>681</v>
      </c>
      <c r="E22" s="4" t="s">
        <v>74</v>
      </c>
      <c r="F22" s="4" t="s">
        <v>116</v>
      </c>
      <c r="G22" s="4" t="s">
        <v>93</v>
      </c>
      <c r="H22" s="4" t="s">
        <v>524</v>
      </c>
      <c r="I22" s="5">
        <v>2500000000</v>
      </c>
      <c r="J22" s="5">
        <v>88750000</v>
      </c>
      <c r="K22" s="5">
        <v>2588750000</v>
      </c>
      <c r="L22" s="6">
        <v>43812</v>
      </c>
      <c r="M22" s="6"/>
      <c r="N22" s="6">
        <v>43902</v>
      </c>
      <c r="O22" s="6">
        <v>43938</v>
      </c>
      <c r="P22" s="5">
        <v>97.52</v>
      </c>
      <c r="Q22" s="5">
        <v>97.57</v>
      </c>
      <c r="R22" s="4"/>
      <c r="S22" s="4" t="s">
        <v>97</v>
      </c>
    </row>
    <row r="23" spans="1:19" ht="70.05" customHeight="1" x14ac:dyDescent="0.3">
      <c r="A23" s="4" t="s">
        <v>682</v>
      </c>
      <c r="B23" s="4" t="s">
        <v>683</v>
      </c>
      <c r="C23" s="4" t="s">
        <v>684</v>
      </c>
      <c r="D23" s="4" t="s">
        <v>685</v>
      </c>
      <c r="E23" s="4" t="s">
        <v>74</v>
      </c>
      <c r="F23" s="4" t="s">
        <v>116</v>
      </c>
      <c r="G23" s="4" t="s">
        <v>93</v>
      </c>
      <c r="H23" s="4" t="s">
        <v>524</v>
      </c>
      <c r="I23" s="5">
        <v>3500000000</v>
      </c>
      <c r="J23" s="5">
        <v>654449000</v>
      </c>
      <c r="K23" s="5">
        <v>4154449000</v>
      </c>
      <c r="L23" s="6">
        <v>43812</v>
      </c>
      <c r="M23" s="6"/>
      <c r="N23" s="6">
        <v>43864</v>
      </c>
      <c r="O23" s="6">
        <v>44742</v>
      </c>
      <c r="P23" s="5">
        <v>99</v>
      </c>
      <c r="Q23" s="5">
        <v>91.85</v>
      </c>
      <c r="R23" s="4"/>
      <c r="S23" s="4" t="s">
        <v>653</v>
      </c>
    </row>
    <row r="24" spans="1:19" ht="70.05" customHeight="1" x14ac:dyDescent="0.3">
      <c r="A24" s="4" t="s">
        <v>686</v>
      </c>
      <c r="B24" s="4" t="s">
        <v>687</v>
      </c>
      <c r="C24" s="4" t="s">
        <v>688</v>
      </c>
      <c r="D24" s="4" t="s">
        <v>689</v>
      </c>
      <c r="E24" s="4" t="s">
        <v>74</v>
      </c>
      <c r="F24" s="4" t="s">
        <v>116</v>
      </c>
      <c r="G24" s="4" t="s">
        <v>93</v>
      </c>
      <c r="H24" s="4" t="s">
        <v>524</v>
      </c>
      <c r="I24" s="5">
        <v>3250000000</v>
      </c>
      <c r="J24" s="5">
        <v>227139308</v>
      </c>
      <c r="K24" s="5">
        <v>3477139308</v>
      </c>
      <c r="L24" s="6">
        <v>43798</v>
      </c>
      <c r="M24" s="6"/>
      <c r="N24" s="6">
        <v>43882</v>
      </c>
      <c r="O24" s="6">
        <v>43957</v>
      </c>
      <c r="P24" s="5">
        <v>97.39</v>
      </c>
      <c r="Q24" s="5">
        <v>95.75</v>
      </c>
      <c r="R24" s="4"/>
      <c r="S24" s="4" t="s">
        <v>690</v>
      </c>
    </row>
    <row r="25" spans="1:19" ht="70.05" customHeight="1" x14ac:dyDescent="0.3">
      <c r="A25" s="4" t="s">
        <v>691</v>
      </c>
      <c r="B25" s="4" t="s">
        <v>692</v>
      </c>
      <c r="C25" s="4" t="s">
        <v>693</v>
      </c>
      <c r="D25" s="4" t="s">
        <v>694</v>
      </c>
      <c r="E25" s="4" t="s">
        <v>74</v>
      </c>
      <c r="F25" s="4" t="s">
        <v>116</v>
      </c>
      <c r="G25" s="4" t="s">
        <v>93</v>
      </c>
      <c r="H25" s="4" t="s">
        <v>524</v>
      </c>
      <c r="I25" s="5">
        <v>946000000</v>
      </c>
      <c r="J25" s="5">
        <v>44375000</v>
      </c>
      <c r="K25" s="5">
        <v>990375000</v>
      </c>
      <c r="L25" s="6">
        <v>43812</v>
      </c>
      <c r="M25" s="6"/>
      <c r="N25" s="6">
        <v>44043</v>
      </c>
      <c r="O25" s="6">
        <v>43991</v>
      </c>
      <c r="P25" s="5">
        <v>97.54</v>
      </c>
      <c r="Q25" s="5">
        <v>97.23</v>
      </c>
      <c r="R25" s="4"/>
      <c r="S25" s="4" t="s">
        <v>695</v>
      </c>
    </row>
    <row r="26" spans="1:19" ht="70.05" customHeight="1" x14ac:dyDescent="0.3">
      <c r="A26" s="4" t="s">
        <v>696</v>
      </c>
      <c r="B26" s="4" t="s">
        <v>697</v>
      </c>
      <c r="C26" s="4" t="s">
        <v>698</v>
      </c>
      <c r="D26" s="4" t="s">
        <v>699</v>
      </c>
      <c r="E26" s="4" t="s">
        <v>74</v>
      </c>
      <c r="F26" s="4" t="s">
        <v>116</v>
      </c>
      <c r="G26" s="4" t="s">
        <v>93</v>
      </c>
      <c r="H26" s="4" t="s">
        <v>524</v>
      </c>
      <c r="I26" s="5">
        <v>1943625000</v>
      </c>
      <c r="J26" s="5">
        <v>88750000</v>
      </c>
      <c r="K26" s="5">
        <v>2032375000</v>
      </c>
      <c r="L26" s="6">
        <v>43830</v>
      </c>
      <c r="M26" s="6"/>
      <c r="N26" s="6">
        <v>44025</v>
      </c>
      <c r="O26" s="6">
        <v>44046</v>
      </c>
      <c r="P26" s="5">
        <v>87.5</v>
      </c>
      <c r="Q26" s="5">
        <v>86.53</v>
      </c>
      <c r="R26" s="4"/>
      <c r="S26" s="4" t="s">
        <v>700</v>
      </c>
    </row>
    <row r="27" spans="1:19" ht="70.05" customHeight="1" x14ac:dyDescent="0.3">
      <c r="A27" s="4" t="s">
        <v>701</v>
      </c>
      <c r="B27" s="4" t="s">
        <v>702</v>
      </c>
      <c r="C27" s="4" t="s">
        <v>703</v>
      </c>
      <c r="D27" s="4" t="s">
        <v>704</v>
      </c>
      <c r="E27" s="4" t="s">
        <v>74</v>
      </c>
      <c r="F27" s="4" t="s">
        <v>116</v>
      </c>
      <c r="G27" s="4" t="s">
        <v>93</v>
      </c>
      <c r="H27" s="4" t="s">
        <v>524</v>
      </c>
      <c r="I27" s="5">
        <v>1999999962.27</v>
      </c>
      <c r="J27" s="5">
        <v>667064931.65999985</v>
      </c>
      <c r="K27" s="5">
        <v>2667064893.9299998</v>
      </c>
      <c r="L27" s="6">
        <v>44111</v>
      </c>
      <c r="M27" s="6"/>
      <c r="N27" s="6">
        <v>44319</v>
      </c>
      <c r="O27" s="6">
        <v>44448</v>
      </c>
      <c r="P27" s="5">
        <v>86.98</v>
      </c>
      <c r="Q27" s="5">
        <v>87.69</v>
      </c>
      <c r="R27" s="4"/>
      <c r="S27" s="4" t="s">
        <v>705</v>
      </c>
    </row>
    <row r="28" spans="1:19" ht="70.05" customHeight="1" x14ac:dyDescent="0.3">
      <c r="A28" s="4" t="s">
        <v>706</v>
      </c>
      <c r="B28" s="4" t="s">
        <v>707</v>
      </c>
      <c r="C28" s="4" t="s">
        <v>708</v>
      </c>
      <c r="D28" s="4" t="s">
        <v>709</v>
      </c>
      <c r="E28" s="4" t="s">
        <v>59</v>
      </c>
      <c r="F28" s="4" t="s">
        <v>710</v>
      </c>
      <c r="G28" s="4" t="s">
        <v>61</v>
      </c>
      <c r="H28" s="4" t="s">
        <v>514</v>
      </c>
      <c r="I28" s="5">
        <v>729826686</v>
      </c>
      <c r="J28" s="5">
        <v>465734861</v>
      </c>
      <c r="K28" s="5">
        <v>1195561547</v>
      </c>
      <c r="L28" s="6">
        <v>43825</v>
      </c>
      <c r="M28" s="6"/>
      <c r="N28" s="6">
        <v>43875</v>
      </c>
      <c r="O28" s="6">
        <v>44074</v>
      </c>
      <c r="P28" s="5">
        <v>100</v>
      </c>
      <c r="Q28" s="5">
        <v>99.24</v>
      </c>
      <c r="R28" s="4"/>
      <c r="S28" s="4" t="s">
        <v>711</v>
      </c>
    </row>
    <row r="29" spans="1:19" ht="70.05" customHeight="1" x14ac:dyDescent="0.3">
      <c r="A29" s="4" t="s">
        <v>712</v>
      </c>
      <c r="B29" s="4" t="s">
        <v>628</v>
      </c>
      <c r="C29" s="4" t="s">
        <v>713</v>
      </c>
      <c r="D29" s="4" t="s">
        <v>714</v>
      </c>
      <c r="E29" s="4" t="s">
        <v>282</v>
      </c>
      <c r="F29" s="4" t="s">
        <v>715</v>
      </c>
      <c r="G29" s="4" t="s">
        <v>61</v>
      </c>
      <c r="H29" s="4" t="s">
        <v>514</v>
      </c>
      <c r="I29" s="5">
        <v>37141732473</v>
      </c>
      <c r="J29" s="5">
        <v>0</v>
      </c>
      <c r="K29" s="5">
        <v>37141732473</v>
      </c>
      <c r="L29" s="6">
        <v>43812</v>
      </c>
      <c r="M29" s="6"/>
      <c r="N29" s="6">
        <v>43817</v>
      </c>
      <c r="O29" s="6">
        <v>44228</v>
      </c>
      <c r="P29" s="5">
        <v>99.87</v>
      </c>
      <c r="Q29" s="5">
        <v>97.75</v>
      </c>
      <c r="R29" s="4"/>
      <c r="S29" s="4" t="s">
        <v>69</v>
      </c>
    </row>
    <row r="30" spans="1:19" ht="70.05" customHeight="1" x14ac:dyDescent="0.3">
      <c r="A30" s="4" t="s">
        <v>716</v>
      </c>
      <c r="B30" s="4" t="s">
        <v>594</v>
      </c>
      <c r="C30" s="4" t="s">
        <v>717</v>
      </c>
      <c r="D30" s="4" t="s">
        <v>718</v>
      </c>
      <c r="E30" s="4" t="s">
        <v>102</v>
      </c>
      <c r="F30" s="4" t="s">
        <v>186</v>
      </c>
      <c r="G30" s="4" t="s">
        <v>93</v>
      </c>
      <c r="H30" s="4" t="s">
        <v>524</v>
      </c>
      <c r="I30" s="5">
        <v>22507978719</v>
      </c>
      <c r="J30" s="5">
        <v>0</v>
      </c>
      <c r="K30" s="5">
        <v>22507978719</v>
      </c>
      <c r="L30" s="6">
        <v>44536</v>
      </c>
      <c r="M30" s="6"/>
      <c r="N30" s="6">
        <v>44683</v>
      </c>
      <c r="O30" s="6">
        <v>44837</v>
      </c>
      <c r="P30" s="5">
        <v>97.89</v>
      </c>
      <c r="Q30" s="5">
        <v>93.98</v>
      </c>
      <c r="R30" s="4"/>
      <c r="S30" s="4" t="s">
        <v>597</v>
      </c>
    </row>
    <row r="31" spans="1:19" ht="70.05" customHeight="1" x14ac:dyDescent="0.3">
      <c r="A31" s="4" t="s">
        <v>719</v>
      </c>
      <c r="B31" s="4" t="s">
        <v>720</v>
      </c>
      <c r="C31" s="4" t="s">
        <v>721</v>
      </c>
      <c r="D31" s="4" t="s">
        <v>722</v>
      </c>
      <c r="E31" s="4" t="s">
        <v>102</v>
      </c>
      <c r="F31" s="4" t="s">
        <v>723</v>
      </c>
      <c r="G31" s="4" t="s">
        <v>230</v>
      </c>
      <c r="H31" s="4" t="s">
        <v>586</v>
      </c>
      <c r="I31" s="5">
        <v>38700180208.470001</v>
      </c>
      <c r="J31" s="5">
        <v>236000000</v>
      </c>
      <c r="K31" s="5">
        <v>38936180208.470001</v>
      </c>
      <c r="L31" s="6">
        <v>44195</v>
      </c>
      <c r="M31" s="6"/>
      <c r="N31" s="6">
        <v>44952</v>
      </c>
      <c r="O31" s="6">
        <v>44595</v>
      </c>
      <c r="P31" s="5">
        <v>100</v>
      </c>
      <c r="Q31" s="5">
        <v>100</v>
      </c>
      <c r="R31" s="4"/>
      <c r="S31" s="4" t="s">
        <v>724</v>
      </c>
    </row>
    <row r="32" spans="1:19" ht="70.05" customHeight="1" x14ac:dyDescent="0.3">
      <c r="A32" s="4" t="s">
        <v>725</v>
      </c>
      <c r="B32" s="4" t="s">
        <v>633</v>
      </c>
      <c r="C32" s="4" t="s">
        <v>726</v>
      </c>
      <c r="D32" s="4" t="s">
        <v>727</v>
      </c>
      <c r="E32" s="4" t="s">
        <v>102</v>
      </c>
      <c r="F32" s="4" t="s">
        <v>64</v>
      </c>
      <c r="G32" s="4" t="s">
        <v>61</v>
      </c>
      <c r="H32" s="4" t="s">
        <v>514</v>
      </c>
      <c r="I32" s="5">
        <v>75409582200</v>
      </c>
      <c r="J32" s="5">
        <v>0</v>
      </c>
      <c r="K32" s="5">
        <v>75409582200</v>
      </c>
      <c r="L32" s="6">
        <v>44195</v>
      </c>
      <c r="M32" s="6"/>
      <c r="N32" s="6">
        <v>44326</v>
      </c>
      <c r="O32" s="6">
        <v>44445</v>
      </c>
      <c r="P32" s="5">
        <v>99.33</v>
      </c>
      <c r="Q32" s="5">
        <v>99.73</v>
      </c>
      <c r="R32" s="4"/>
      <c r="S32" s="4" t="s">
        <v>728</v>
      </c>
    </row>
    <row r="33" spans="1:19" ht="70.05" customHeight="1" x14ac:dyDescent="0.3">
      <c r="A33" s="4" t="s">
        <v>729</v>
      </c>
      <c r="B33" s="4" t="s">
        <v>665</v>
      </c>
      <c r="C33" s="4" t="s">
        <v>730</v>
      </c>
      <c r="D33" s="4" t="s">
        <v>731</v>
      </c>
      <c r="E33" s="4" t="s">
        <v>74</v>
      </c>
      <c r="F33" s="4" t="s">
        <v>116</v>
      </c>
      <c r="G33" s="4" t="s">
        <v>61</v>
      </c>
      <c r="H33" s="4" t="s">
        <v>586</v>
      </c>
      <c r="I33" s="5">
        <v>1998000000</v>
      </c>
      <c r="J33" s="5">
        <v>416100000</v>
      </c>
      <c r="K33" s="5">
        <v>2414100000</v>
      </c>
      <c r="L33" s="6">
        <v>43950</v>
      </c>
      <c r="M33" s="6"/>
      <c r="N33" s="6">
        <v>44001</v>
      </c>
      <c r="O33" s="6">
        <v>44133</v>
      </c>
      <c r="P33" s="5">
        <v>100</v>
      </c>
      <c r="Q33" s="5">
        <v>100</v>
      </c>
      <c r="R33" s="4"/>
      <c r="S33" s="4" t="s">
        <v>732</v>
      </c>
    </row>
    <row r="34" spans="1:19" ht="70.05" customHeight="1" x14ac:dyDescent="0.3">
      <c r="A34" s="4" t="s">
        <v>733</v>
      </c>
      <c r="B34" s="4" t="s">
        <v>665</v>
      </c>
      <c r="C34" s="4" t="s">
        <v>734</v>
      </c>
      <c r="D34" s="4" t="s">
        <v>735</v>
      </c>
      <c r="E34" s="4" t="s">
        <v>74</v>
      </c>
      <c r="F34" s="4" t="s">
        <v>116</v>
      </c>
      <c r="G34" s="4" t="s">
        <v>61</v>
      </c>
      <c r="H34" s="4" t="s">
        <v>524</v>
      </c>
      <c r="I34" s="5">
        <v>1999306318</v>
      </c>
      <c r="J34" s="5">
        <v>1491009306.72</v>
      </c>
      <c r="K34" s="5">
        <v>3490315624.7199998</v>
      </c>
      <c r="L34" s="6">
        <v>43924</v>
      </c>
      <c r="M34" s="6"/>
      <c r="N34" s="6">
        <v>44001</v>
      </c>
      <c r="O34" s="6">
        <v>44118</v>
      </c>
      <c r="P34" s="5">
        <v>100</v>
      </c>
      <c r="Q34" s="5">
        <v>100</v>
      </c>
      <c r="R34" s="4"/>
      <c r="S34" s="4" t="s">
        <v>668</v>
      </c>
    </row>
    <row r="35" spans="1:19" ht="70.05" customHeight="1" x14ac:dyDescent="0.3">
      <c r="A35" s="4" t="s">
        <v>736</v>
      </c>
      <c r="B35" s="4" t="s">
        <v>737</v>
      </c>
      <c r="C35" s="4" t="s">
        <v>738</v>
      </c>
      <c r="D35" s="4" t="s">
        <v>739</v>
      </c>
      <c r="E35" s="4" t="s">
        <v>74</v>
      </c>
      <c r="F35" s="4" t="s">
        <v>116</v>
      </c>
      <c r="G35" s="4" t="s">
        <v>230</v>
      </c>
      <c r="H35" s="4" t="s">
        <v>586</v>
      </c>
      <c r="I35" s="5">
        <v>1999910691</v>
      </c>
      <c r="J35" s="5">
        <v>1839271262</v>
      </c>
      <c r="K35" s="5">
        <v>3839181953</v>
      </c>
      <c r="L35" s="6">
        <v>44078</v>
      </c>
      <c r="M35" s="6"/>
      <c r="N35" s="6">
        <v>45385</v>
      </c>
      <c r="O35" s="6">
        <v>44252</v>
      </c>
      <c r="P35" s="5">
        <v>99.9</v>
      </c>
      <c r="Q35" s="5">
        <v>100</v>
      </c>
      <c r="R35" s="4"/>
      <c r="S35" s="4" t="s">
        <v>740</v>
      </c>
    </row>
    <row r="36" spans="1:19" ht="70.05" customHeight="1" x14ac:dyDescent="0.3">
      <c r="A36" s="4" t="s">
        <v>741</v>
      </c>
      <c r="B36" s="4" t="s">
        <v>742</v>
      </c>
      <c r="C36" s="4" t="s">
        <v>743</v>
      </c>
      <c r="D36" s="4" t="s">
        <v>744</v>
      </c>
      <c r="E36" s="4" t="s">
        <v>74</v>
      </c>
      <c r="F36" s="4" t="s">
        <v>116</v>
      </c>
      <c r="G36" s="4" t="s">
        <v>93</v>
      </c>
      <c r="H36" s="4" t="s">
        <v>514</v>
      </c>
      <c r="I36" s="5">
        <v>1999433630</v>
      </c>
      <c r="J36" s="5">
        <v>931051170</v>
      </c>
      <c r="K36" s="5">
        <v>2930484800</v>
      </c>
      <c r="L36" s="6">
        <v>43924</v>
      </c>
      <c r="M36" s="6"/>
      <c r="N36" s="6">
        <v>44106</v>
      </c>
      <c r="O36" s="6">
        <v>44106</v>
      </c>
      <c r="P36" s="5">
        <v>100</v>
      </c>
      <c r="Q36" s="5">
        <v>99.14</v>
      </c>
      <c r="R36" s="4"/>
      <c r="S36" s="4" t="s">
        <v>653</v>
      </c>
    </row>
    <row r="37" spans="1:19" ht="70.05" customHeight="1" x14ac:dyDescent="0.3">
      <c r="A37" s="4" t="s">
        <v>745</v>
      </c>
      <c r="B37" s="4" t="s">
        <v>746</v>
      </c>
      <c r="C37" s="4" t="s">
        <v>747</v>
      </c>
      <c r="D37" s="4" t="s">
        <v>748</v>
      </c>
      <c r="E37" s="4" t="s">
        <v>74</v>
      </c>
      <c r="F37" s="4" t="s">
        <v>116</v>
      </c>
      <c r="G37" s="4" t="s">
        <v>93</v>
      </c>
      <c r="H37" s="4" t="s">
        <v>586</v>
      </c>
      <c r="I37" s="5">
        <v>1999976897</v>
      </c>
      <c r="J37" s="5">
        <v>612770516</v>
      </c>
      <c r="K37" s="5">
        <v>2612747413</v>
      </c>
      <c r="L37" s="6">
        <v>44078</v>
      </c>
      <c r="M37" s="6"/>
      <c r="N37" s="6">
        <v>44179</v>
      </c>
      <c r="O37" s="6">
        <v>44229</v>
      </c>
      <c r="P37" s="5">
        <v>65.69</v>
      </c>
      <c r="Q37" s="5">
        <v>76.930000000000007</v>
      </c>
      <c r="R37" s="4"/>
      <c r="S37" s="4" t="s">
        <v>749</v>
      </c>
    </row>
    <row r="38" spans="1:19" ht="70.05" customHeight="1" x14ac:dyDescent="0.3">
      <c r="A38" s="4" t="s">
        <v>750</v>
      </c>
      <c r="B38" s="4" t="s">
        <v>751</v>
      </c>
      <c r="C38" s="4" t="s">
        <v>752</v>
      </c>
      <c r="D38" s="4" t="s">
        <v>753</v>
      </c>
      <c r="E38" s="4" t="s">
        <v>74</v>
      </c>
      <c r="F38" s="4" t="s">
        <v>116</v>
      </c>
      <c r="G38" s="4" t="s">
        <v>61</v>
      </c>
      <c r="H38" s="4" t="s">
        <v>524</v>
      </c>
      <c r="I38" s="5">
        <v>1272365336</v>
      </c>
      <c r="J38" s="5">
        <v>643306000</v>
      </c>
      <c r="K38" s="5">
        <v>1915671336</v>
      </c>
      <c r="L38" s="6">
        <v>44078</v>
      </c>
      <c r="M38" s="6"/>
      <c r="N38" s="6"/>
      <c r="O38" s="6">
        <v>44421</v>
      </c>
      <c r="P38" s="5">
        <v>97.49</v>
      </c>
      <c r="Q38" s="5">
        <v>101.36</v>
      </c>
      <c r="R38" s="4"/>
      <c r="S38" s="4" t="s">
        <v>754</v>
      </c>
    </row>
    <row r="39" spans="1:19" ht="70.05" customHeight="1" x14ac:dyDescent="0.3">
      <c r="A39" s="4" t="s">
        <v>755</v>
      </c>
      <c r="B39" s="4" t="s">
        <v>756</v>
      </c>
      <c r="C39" s="4" t="s">
        <v>757</v>
      </c>
      <c r="D39" s="4" t="s">
        <v>758</v>
      </c>
      <c r="E39" s="4" t="s">
        <v>74</v>
      </c>
      <c r="F39" s="4" t="s">
        <v>116</v>
      </c>
      <c r="G39" s="4" t="s">
        <v>93</v>
      </c>
      <c r="H39" s="4" t="s">
        <v>586</v>
      </c>
      <c r="I39" s="5">
        <v>1999833255</v>
      </c>
      <c r="J39" s="5">
        <v>948213920</v>
      </c>
      <c r="K39" s="5">
        <v>2948047175</v>
      </c>
      <c r="L39" s="6">
        <v>44078</v>
      </c>
      <c r="M39" s="6"/>
      <c r="N39" s="6">
        <v>44113</v>
      </c>
      <c r="O39" s="6">
        <v>44408</v>
      </c>
      <c r="P39" s="5">
        <v>99.95</v>
      </c>
      <c r="Q39" s="5">
        <v>99.96</v>
      </c>
      <c r="R39" s="4"/>
      <c r="S39" s="4" t="s">
        <v>759</v>
      </c>
    </row>
    <row r="40" spans="1:19" ht="70.05" customHeight="1" x14ac:dyDescent="0.3">
      <c r="A40" s="4" t="s">
        <v>760</v>
      </c>
      <c r="B40" s="4" t="s">
        <v>761</v>
      </c>
      <c r="C40" s="4" t="s">
        <v>762</v>
      </c>
      <c r="D40" s="4" t="s">
        <v>763</v>
      </c>
      <c r="E40" s="4" t="s">
        <v>74</v>
      </c>
      <c r="F40" s="4" t="s">
        <v>116</v>
      </c>
      <c r="G40" s="4" t="s">
        <v>61</v>
      </c>
      <c r="H40" s="4" t="s">
        <v>586</v>
      </c>
      <c r="I40" s="5">
        <v>6559568533</v>
      </c>
      <c r="J40" s="5">
        <v>288576987</v>
      </c>
      <c r="K40" s="5">
        <v>6848145520</v>
      </c>
      <c r="L40" s="6">
        <v>44159</v>
      </c>
      <c r="M40" s="6"/>
      <c r="N40" s="6">
        <v>44337</v>
      </c>
      <c r="O40" s="6">
        <v>44410</v>
      </c>
      <c r="P40" s="5">
        <v>100</v>
      </c>
      <c r="Q40" s="5">
        <v>98.42</v>
      </c>
      <c r="R40" s="4"/>
      <c r="S40" s="4" t="s">
        <v>97</v>
      </c>
    </row>
    <row r="41" spans="1:19" ht="70.05" customHeight="1" x14ac:dyDescent="0.3">
      <c r="A41" s="4" t="s">
        <v>764</v>
      </c>
      <c r="B41" s="4" t="s">
        <v>737</v>
      </c>
      <c r="C41" s="4" t="s">
        <v>765</v>
      </c>
      <c r="D41" s="4" t="s">
        <v>766</v>
      </c>
      <c r="E41" s="4" t="s">
        <v>74</v>
      </c>
      <c r="F41" s="4" t="s">
        <v>116</v>
      </c>
      <c r="G41" s="4" t="s">
        <v>93</v>
      </c>
      <c r="H41" s="4" t="s">
        <v>563</v>
      </c>
      <c r="I41" s="5">
        <v>1998890586.73</v>
      </c>
      <c r="J41" s="5">
        <v>899995425.88000011</v>
      </c>
      <c r="K41" s="5">
        <v>2898886012.6100001</v>
      </c>
      <c r="L41" s="6">
        <v>44078</v>
      </c>
      <c r="M41" s="6"/>
      <c r="N41" s="6">
        <v>44386</v>
      </c>
      <c r="O41" s="6">
        <v>44335</v>
      </c>
      <c r="P41" s="5">
        <v>98.23</v>
      </c>
      <c r="Q41" s="5">
        <v>98.28</v>
      </c>
      <c r="R41" s="4"/>
      <c r="S41" s="4" t="s">
        <v>767</v>
      </c>
    </row>
    <row r="42" spans="1:19" ht="70.05" customHeight="1" x14ac:dyDescent="0.3">
      <c r="A42" s="4" t="s">
        <v>768</v>
      </c>
      <c r="B42" s="4" t="s">
        <v>746</v>
      </c>
      <c r="C42" s="4" t="s">
        <v>769</v>
      </c>
      <c r="D42" s="4" t="s">
        <v>770</v>
      </c>
      <c r="E42" s="4" t="s">
        <v>74</v>
      </c>
      <c r="F42" s="4" t="s">
        <v>116</v>
      </c>
      <c r="G42" s="4" t="s">
        <v>230</v>
      </c>
      <c r="H42" s="4" t="s">
        <v>586</v>
      </c>
      <c r="I42" s="5">
        <v>5347795060</v>
      </c>
      <c r="J42" s="5">
        <v>1233838703</v>
      </c>
      <c r="K42" s="5">
        <v>6581633763</v>
      </c>
      <c r="L42" s="6">
        <v>43966</v>
      </c>
      <c r="M42" s="6"/>
      <c r="N42" s="6">
        <v>43978</v>
      </c>
      <c r="O42" s="6">
        <v>44097</v>
      </c>
      <c r="P42" s="5">
        <v>99.17</v>
      </c>
      <c r="Q42" s="5">
        <v>99.17</v>
      </c>
      <c r="R42" s="4"/>
      <c r="S42" s="4" t="s">
        <v>97</v>
      </c>
    </row>
    <row r="43" spans="1:19" ht="70.05" customHeight="1" x14ac:dyDescent="0.3">
      <c r="A43" s="4" t="s">
        <v>771</v>
      </c>
      <c r="B43" s="4" t="s">
        <v>702</v>
      </c>
      <c r="C43" s="4" t="s">
        <v>772</v>
      </c>
      <c r="D43" s="4" t="s">
        <v>773</v>
      </c>
      <c r="E43" s="4" t="s">
        <v>74</v>
      </c>
      <c r="F43" s="4" t="s">
        <v>116</v>
      </c>
      <c r="G43" s="4" t="s">
        <v>93</v>
      </c>
      <c r="H43" s="4" t="s">
        <v>586</v>
      </c>
      <c r="I43" s="5">
        <v>1965295196.9400001</v>
      </c>
      <c r="J43" s="5">
        <v>2166508826.73</v>
      </c>
      <c r="K43" s="5">
        <v>4131804023.6700001</v>
      </c>
      <c r="L43" s="6">
        <v>44078</v>
      </c>
      <c r="M43" s="6"/>
      <c r="N43" s="6"/>
      <c r="O43" s="6">
        <v>44421</v>
      </c>
      <c r="P43" s="5">
        <v>96.47</v>
      </c>
      <c r="Q43" s="5">
        <v>102.12</v>
      </c>
      <c r="R43" s="4"/>
      <c r="S43" s="4"/>
    </row>
    <row r="44" spans="1:19" ht="70.05" customHeight="1" x14ac:dyDescent="0.3">
      <c r="A44" s="4" t="s">
        <v>774</v>
      </c>
      <c r="B44" s="4" t="s">
        <v>746</v>
      </c>
      <c r="C44" s="4" t="s">
        <v>775</v>
      </c>
      <c r="D44" s="4" t="s">
        <v>776</v>
      </c>
      <c r="E44" s="4" t="s">
        <v>74</v>
      </c>
      <c r="F44" s="4" t="s">
        <v>116</v>
      </c>
      <c r="G44" s="4" t="s">
        <v>93</v>
      </c>
      <c r="H44" s="4" t="s">
        <v>524</v>
      </c>
      <c r="I44" s="5">
        <v>8764697664</v>
      </c>
      <c r="J44" s="5">
        <v>1543666900</v>
      </c>
      <c r="K44" s="5">
        <v>10308364564</v>
      </c>
      <c r="L44" s="6">
        <v>44432</v>
      </c>
      <c r="M44" s="6"/>
      <c r="N44" s="6">
        <v>44480</v>
      </c>
      <c r="O44" s="6">
        <v>44502</v>
      </c>
      <c r="P44" s="5">
        <v>89.91</v>
      </c>
      <c r="Q44" s="5">
        <v>90.22</v>
      </c>
      <c r="R44" s="4"/>
      <c r="S44" s="4" t="s">
        <v>69</v>
      </c>
    </row>
    <row r="45" spans="1:19" ht="70.05" customHeight="1" x14ac:dyDescent="0.3">
      <c r="A45" s="4" t="s">
        <v>777</v>
      </c>
      <c r="B45" s="4" t="s">
        <v>778</v>
      </c>
      <c r="C45" s="4" t="s">
        <v>779</v>
      </c>
      <c r="D45" s="4" t="s">
        <v>780</v>
      </c>
      <c r="E45" s="4" t="s">
        <v>74</v>
      </c>
      <c r="F45" s="4" t="s">
        <v>116</v>
      </c>
      <c r="G45" s="4" t="s">
        <v>61</v>
      </c>
      <c r="H45" s="4" t="s">
        <v>586</v>
      </c>
      <c r="I45" s="5">
        <v>1349000868</v>
      </c>
      <c r="J45" s="5">
        <v>60240000</v>
      </c>
      <c r="K45" s="5">
        <v>1409240868</v>
      </c>
      <c r="L45" s="6">
        <v>44111</v>
      </c>
      <c r="M45" s="6"/>
      <c r="N45" s="6">
        <v>44568</v>
      </c>
      <c r="O45" s="6">
        <v>44594</v>
      </c>
      <c r="P45" s="5">
        <v>100</v>
      </c>
      <c r="Q45" s="5">
        <v>90.65</v>
      </c>
      <c r="R45" s="4"/>
      <c r="S45" s="4" t="s">
        <v>97</v>
      </c>
    </row>
    <row r="46" spans="1:19" ht="70.05" customHeight="1" x14ac:dyDescent="0.3">
      <c r="A46" s="4" t="s">
        <v>781</v>
      </c>
      <c r="B46" s="4" t="s">
        <v>782</v>
      </c>
      <c r="C46" s="4" t="s">
        <v>783</v>
      </c>
      <c r="D46" s="4" t="s">
        <v>784</v>
      </c>
      <c r="E46" s="4" t="s">
        <v>74</v>
      </c>
      <c r="F46" s="4" t="s">
        <v>116</v>
      </c>
      <c r="G46" s="4" t="s">
        <v>61</v>
      </c>
      <c r="H46" s="4" t="s">
        <v>586</v>
      </c>
      <c r="I46" s="5">
        <v>3106000000</v>
      </c>
      <c r="J46" s="5">
        <v>50000000</v>
      </c>
      <c r="K46" s="5">
        <v>3156000000</v>
      </c>
      <c r="L46" s="6">
        <v>44159</v>
      </c>
      <c r="M46" s="6"/>
      <c r="N46" s="6">
        <v>44235</v>
      </c>
      <c r="O46" s="6">
        <v>44327</v>
      </c>
      <c r="P46" s="5">
        <v>100</v>
      </c>
      <c r="Q46" s="5">
        <v>93.32</v>
      </c>
      <c r="R46" s="4"/>
      <c r="S46" s="4" t="s">
        <v>69</v>
      </c>
    </row>
    <row r="47" spans="1:19" ht="70.05" customHeight="1" x14ac:dyDescent="0.3">
      <c r="A47" s="4" t="s">
        <v>785</v>
      </c>
      <c r="B47" s="4" t="s">
        <v>683</v>
      </c>
      <c r="C47" s="4" t="s">
        <v>786</v>
      </c>
      <c r="D47" s="4" t="s">
        <v>787</v>
      </c>
      <c r="E47" s="4" t="s">
        <v>74</v>
      </c>
      <c r="F47" s="4" t="s">
        <v>116</v>
      </c>
      <c r="G47" s="4" t="s">
        <v>61</v>
      </c>
      <c r="H47" s="4" t="s">
        <v>563</v>
      </c>
      <c r="I47" s="5">
        <v>8995267958.5699997</v>
      </c>
      <c r="J47" s="5">
        <v>182146495.4899998</v>
      </c>
      <c r="K47" s="5">
        <v>9177414454.0599995</v>
      </c>
      <c r="L47" s="6">
        <v>44159</v>
      </c>
      <c r="M47" s="6"/>
      <c r="N47" s="6">
        <v>44263</v>
      </c>
      <c r="O47" s="6">
        <v>44365</v>
      </c>
      <c r="P47" s="5">
        <v>100</v>
      </c>
      <c r="Q47" s="5">
        <v>100</v>
      </c>
      <c r="R47" s="4"/>
      <c r="S47" s="4" t="s">
        <v>788</v>
      </c>
    </row>
    <row r="48" spans="1:19" ht="70.05" customHeight="1" x14ac:dyDescent="0.3">
      <c r="A48" s="4" t="s">
        <v>789</v>
      </c>
      <c r="B48" s="4" t="s">
        <v>790</v>
      </c>
      <c r="C48" s="4" t="s">
        <v>791</v>
      </c>
      <c r="D48" s="4" t="s">
        <v>792</v>
      </c>
      <c r="E48" s="4" t="s">
        <v>74</v>
      </c>
      <c r="F48" s="4" t="s">
        <v>116</v>
      </c>
      <c r="G48" s="4" t="s">
        <v>93</v>
      </c>
      <c r="H48" s="4" t="s">
        <v>524</v>
      </c>
      <c r="I48" s="5">
        <v>6750000000</v>
      </c>
      <c r="J48" s="5">
        <v>170233499</v>
      </c>
      <c r="K48" s="5">
        <v>6920233499</v>
      </c>
      <c r="L48" s="6">
        <v>44330</v>
      </c>
      <c r="M48" s="6"/>
      <c r="N48" s="6">
        <v>44362</v>
      </c>
      <c r="O48" s="6">
        <v>44404</v>
      </c>
      <c r="P48" s="5">
        <v>83</v>
      </c>
      <c r="Q48" s="5">
        <v>86.25</v>
      </c>
      <c r="R48" s="4"/>
      <c r="S48" s="4" t="s">
        <v>653</v>
      </c>
    </row>
    <row r="49" spans="1:19" ht="70.05" customHeight="1" x14ac:dyDescent="0.3">
      <c r="A49" s="4" t="s">
        <v>793</v>
      </c>
      <c r="B49" s="4" t="s">
        <v>756</v>
      </c>
      <c r="C49" s="4" t="s">
        <v>794</v>
      </c>
      <c r="D49" s="4" t="s">
        <v>795</v>
      </c>
      <c r="E49" s="4" t="s">
        <v>74</v>
      </c>
      <c r="F49" s="4" t="s">
        <v>116</v>
      </c>
      <c r="G49" s="4" t="s">
        <v>93</v>
      </c>
      <c r="H49" s="4" t="s">
        <v>586</v>
      </c>
      <c r="I49" s="5">
        <v>1998157618.8800001</v>
      </c>
      <c r="J49" s="5">
        <v>469735103.82999992</v>
      </c>
      <c r="K49" s="5">
        <v>2467892722.71</v>
      </c>
      <c r="L49" s="6">
        <v>44159</v>
      </c>
      <c r="M49" s="6"/>
      <c r="N49" s="6">
        <v>44259</v>
      </c>
      <c r="O49" s="6">
        <v>44567</v>
      </c>
      <c r="P49" s="5">
        <v>98.06</v>
      </c>
      <c r="Q49" s="5">
        <v>98.13</v>
      </c>
      <c r="R49" s="4"/>
      <c r="S49" s="4" t="s">
        <v>796</v>
      </c>
    </row>
    <row r="50" spans="1:19" ht="70.05" customHeight="1" x14ac:dyDescent="0.3">
      <c r="A50" s="4" t="s">
        <v>797</v>
      </c>
      <c r="B50" s="4" t="s">
        <v>665</v>
      </c>
      <c r="C50" s="4" t="s">
        <v>798</v>
      </c>
      <c r="D50" s="4" t="s">
        <v>799</v>
      </c>
      <c r="E50" s="4" t="s">
        <v>74</v>
      </c>
      <c r="F50" s="4" t="s">
        <v>116</v>
      </c>
      <c r="G50" s="4" t="s">
        <v>93</v>
      </c>
      <c r="H50" s="4" t="s">
        <v>524</v>
      </c>
      <c r="I50" s="5">
        <v>2000000000</v>
      </c>
      <c r="J50" s="5">
        <v>474185221</v>
      </c>
      <c r="K50" s="5">
        <v>2474185221</v>
      </c>
      <c r="L50" s="6">
        <v>44159</v>
      </c>
      <c r="M50" s="6"/>
      <c r="N50" s="6">
        <v>44246</v>
      </c>
      <c r="O50" s="6">
        <v>44337</v>
      </c>
      <c r="P50" s="5">
        <v>100.2</v>
      </c>
      <c r="Q50" s="5">
        <v>100</v>
      </c>
      <c r="R50" s="4"/>
      <c r="S50" s="4" t="s">
        <v>800</v>
      </c>
    </row>
    <row r="51" spans="1:19" ht="70.05" customHeight="1" x14ac:dyDescent="0.3">
      <c r="A51" s="4" t="s">
        <v>801</v>
      </c>
      <c r="B51" s="4" t="s">
        <v>802</v>
      </c>
      <c r="C51" s="4" t="s">
        <v>803</v>
      </c>
      <c r="D51" s="4" t="s">
        <v>804</v>
      </c>
      <c r="E51" s="4" t="s">
        <v>74</v>
      </c>
      <c r="F51" s="4" t="s">
        <v>116</v>
      </c>
      <c r="G51" s="4" t="s">
        <v>93</v>
      </c>
      <c r="H51" s="4" t="s">
        <v>524</v>
      </c>
      <c r="I51" s="5">
        <v>5335769261</v>
      </c>
      <c r="J51" s="5">
        <v>577300853</v>
      </c>
      <c r="K51" s="5">
        <v>5913070114</v>
      </c>
      <c r="L51" s="6">
        <v>44348</v>
      </c>
      <c r="M51" s="6"/>
      <c r="N51" s="6"/>
      <c r="O51" s="6">
        <v>44427</v>
      </c>
      <c r="P51" s="5">
        <v>65.84</v>
      </c>
      <c r="Q51" s="5">
        <v>65.83</v>
      </c>
      <c r="R51" s="4"/>
      <c r="S51" s="4" t="s">
        <v>663</v>
      </c>
    </row>
    <row r="52" spans="1:19" ht="70.05" customHeight="1" x14ac:dyDescent="0.3">
      <c r="A52" s="4" t="s">
        <v>805</v>
      </c>
      <c r="B52" s="4" t="s">
        <v>756</v>
      </c>
      <c r="C52" s="4" t="s">
        <v>806</v>
      </c>
      <c r="D52" s="4" t="s">
        <v>807</v>
      </c>
      <c r="E52" s="4" t="s">
        <v>74</v>
      </c>
      <c r="F52" s="4" t="s">
        <v>116</v>
      </c>
      <c r="G52" s="4" t="s">
        <v>93</v>
      </c>
      <c r="H52" s="4" t="s">
        <v>586</v>
      </c>
      <c r="I52" s="5">
        <v>4940449374</v>
      </c>
      <c r="J52" s="5">
        <v>263481086</v>
      </c>
      <c r="K52" s="5">
        <v>5203930460</v>
      </c>
      <c r="L52" s="6">
        <v>44432</v>
      </c>
      <c r="M52" s="6"/>
      <c r="N52" s="6">
        <v>44480</v>
      </c>
      <c r="O52" s="6">
        <v>44517</v>
      </c>
      <c r="P52" s="5">
        <v>99.7</v>
      </c>
      <c r="Q52" s="5">
        <v>99.91</v>
      </c>
      <c r="R52" s="4"/>
      <c r="S52" s="4" t="s">
        <v>808</v>
      </c>
    </row>
    <row r="53" spans="1:19" ht="70.05" customHeight="1" x14ac:dyDescent="0.3">
      <c r="A53" s="4" t="s">
        <v>809</v>
      </c>
      <c r="B53" s="4" t="s">
        <v>665</v>
      </c>
      <c r="C53" s="4" t="s">
        <v>810</v>
      </c>
      <c r="D53" s="4" t="s">
        <v>811</v>
      </c>
      <c r="E53" s="4" t="s">
        <v>74</v>
      </c>
      <c r="F53" s="4" t="s">
        <v>116</v>
      </c>
      <c r="G53" s="4" t="s">
        <v>61</v>
      </c>
      <c r="H53" s="4" t="s">
        <v>563</v>
      </c>
      <c r="I53" s="5">
        <v>1999924866</v>
      </c>
      <c r="J53" s="5">
        <v>1559283349</v>
      </c>
      <c r="K53" s="5">
        <v>3559208215</v>
      </c>
      <c r="L53" s="6">
        <v>44159</v>
      </c>
      <c r="M53" s="6"/>
      <c r="N53" s="6">
        <v>44246</v>
      </c>
      <c r="O53" s="6">
        <v>44341</v>
      </c>
      <c r="P53" s="5">
        <v>100.03</v>
      </c>
      <c r="Q53" s="5">
        <v>87.3</v>
      </c>
      <c r="R53" s="4"/>
      <c r="S53" s="4" t="s">
        <v>812</v>
      </c>
    </row>
    <row r="54" spans="1:19" ht="70.05" customHeight="1" x14ac:dyDescent="0.3">
      <c r="A54" s="4" t="s">
        <v>813</v>
      </c>
      <c r="B54" s="4" t="s">
        <v>665</v>
      </c>
      <c r="C54" s="4" t="s">
        <v>814</v>
      </c>
      <c r="D54" s="4" t="s">
        <v>815</v>
      </c>
      <c r="E54" s="4" t="s">
        <v>74</v>
      </c>
      <c r="F54" s="4" t="s">
        <v>116</v>
      </c>
      <c r="G54" s="4" t="s">
        <v>93</v>
      </c>
      <c r="H54" s="4" t="s">
        <v>524</v>
      </c>
      <c r="I54" s="5">
        <v>3591118773</v>
      </c>
      <c r="J54" s="5">
        <v>177500000</v>
      </c>
      <c r="K54" s="5">
        <v>3768618773</v>
      </c>
      <c r="L54" s="6">
        <v>44330</v>
      </c>
      <c r="M54" s="6"/>
      <c r="N54" s="6">
        <v>44393</v>
      </c>
      <c r="O54" s="6">
        <v>44418</v>
      </c>
      <c r="P54" s="5">
        <v>95.18</v>
      </c>
      <c r="Q54" s="5">
        <v>84.17</v>
      </c>
      <c r="R54" s="4"/>
      <c r="S54" s="4" t="s">
        <v>668</v>
      </c>
    </row>
    <row r="55" spans="1:19" ht="70.05" customHeight="1" x14ac:dyDescent="0.3">
      <c r="A55" s="4" t="s">
        <v>816</v>
      </c>
      <c r="B55" s="4" t="s">
        <v>665</v>
      </c>
      <c r="C55" s="4" t="s">
        <v>817</v>
      </c>
      <c r="D55" s="4" t="s">
        <v>818</v>
      </c>
      <c r="E55" s="4" t="s">
        <v>74</v>
      </c>
      <c r="F55" s="4" t="s">
        <v>116</v>
      </c>
      <c r="G55" s="4" t="s">
        <v>61</v>
      </c>
      <c r="H55" s="4" t="s">
        <v>524</v>
      </c>
      <c r="I55" s="5">
        <v>2000000000</v>
      </c>
      <c r="J55" s="5">
        <v>1560969376</v>
      </c>
      <c r="K55" s="5">
        <v>3560969376</v>
      </c>
      <c r="L55" s="6">
        <v>44159</v>
      </c>
      <c r="M55" s="6"/>
      <c r="N55" s="6">
        <v>44246</v>
      </c>
      <c r="O55" s="6">
        <v>44337</v>
      </c>
      <c r="P55" s="5">
        <v>100.04</v>
      </c>
      <c r="Q55" s="5">
        <v>100</v>
      </c>
      <c r="R55" s="4"/>
      <c r="S55" s="4" t="s">
        <v>819</v>
      </c>
    </row>
    <row r="56" spans="1:19" ht="70.05" customHeight="1" x14ac:dyDescent="0.3">
      <c r="A56" s="4" t="s">
        <v>820</v>
      </c>
      <c r="B56" s="4" t="s">
        <v>756</v>
      </c>
      <c r="C56" s="4" t="s">
        <v>821</v>
      </c>
      <c r="D56" s="4" t="s">
        <v>822</v>
      </c>
      <c r="E56" s="4" t="s">
        <v>74</v>
      </c>
      <c r="F56" s="4" t="s">
        <v>116</v>
      </c>
      <c r="G56" s="4" t="s">
        <v>93</v>
      </c>
      <c r="H56" s="4" t="s">
        <v>524</v>
      </c>
      <c r="I56" s="5">
        <v>1999112638.9200001</v>
      </c>
      <c r="J56" s="5">
        <v>857237428</v>
      </c>
      <c r="K56" s="5">
        <v>2856350066.9200001</v>
      </c>
      <c r="L56" s="6">
        <v>44159</v>
      </c>
      <c r="M56" s="6"/>
      <c r="N56" s="6">
        <v>44259</v>
      </c>
      <c r="O56" s="6">
        <v>44474</v>
      </c>
      <c r="P56" s="5">
        <v>99.08</v>
      </c>
      <c r="Q56" s="5">
        <v>99.46</v>
      </c>
      <c r="R56" s="4"/>
      <c r="S56" s="4" t="s">
        <v>823</v>
      </c>
    </row>
    <row r="57" spans="1:19" ht="70.05" customHeight="1" x14ac:dyDescent="0.3">
      <c r="A57" s="4" t="s">
        <v>824</v>
      </c>
      <c r="B57" s="4" t="s">
        <v>825</v>
      </c>
      <c r="C57" s="4" t="s">
        <v>826</v>
      </c>
      <c r="D57" s="4" t="s">
        <v>827</v>
      </c>
      <c r="E57" s="4" t="s">
        <v>74</v>
      </c>
      <c r="F57" s="4" t="s">
        <v>116</v>
      </c>
      <c r="G57" s="4" t="s">
        <v>93</v>
      </c>
      <c r="H57" s="4" t="s">
        <v>524</v>
      </c>
      <c r="I57" s="5">
        <v>7500000000</v>
      </c>
      <c r="J57" s="5">
        <v>0</v>
      </c>
      <c r="K57" s="5">
        <v>7500000000</v>
      </c>
      <c r="L57" s="6">
        <v>44348</v>
      </c>
      <c r="M57" s="6"/>
      <c r="N57" s="6">
        <v>44379</v>
      </c>
      <c r="O57" s="6">
        <v>44407</v>
      </c>
      <c r="P57" s="5">
        <v>58.72</v>
      </c>
      <c r="Q57" s="5">
        <v>58.7</v>
      </c>
      <c r="R57" s="4"/>
      <c r="S57" s="4" t="s">
        <v>700</v>
      </c>
    </row>
    <row r="58" spans="1:19" ht="70.05" customHeight="1" x14ac:dyDescent="0.3">
      <c r="A58" s="4" t="s">
        <v>828</v>
      </c>
      <c r="B58" s="4" t="s">
        <v>702</v>
      </c>
      <c r="C58" s="4" t="s">
        <v>829</v>
      </c>
      <c r="D58" s="4" t="s">
        <v>830</v>
      </c>
      <c r="E58" s="4" t="s">
        <v>74</v>
      </c>
      <c r="F58" s="4" t="s">
        <v>116</v>
      </c>
      <c r="G58" s="4" t="s">
        <v>61</v>
      </c>
      <c r="H58" s="4" t="s">
        <v>586</v>
      </c>
      <c r="I58" s="5">
        <v>1999803848</v>
      </c>
      <c r="J58" s="5">
        <v>1394426448</v>
      </c>
      <c r="K58" s="5">
        <v>3394230296</v>
      </c>
      <c r="L58" s="6">
        <v>44159</v>
      </c>
      <c r="M58" s="6"/>
      <c r="N58" s="6">
        <v>44320</v>
      </c>
      <c r="O58" s="6">
        <v>44467</v>
      </c>
      <c r="P58" s="5">
        <v>99.71</v>
      </c>
      <c r="Q58" s="5">
        <v>100.53</v>
      </c>
      <c r="R58" s="4"/>
      <c r="S58" s="4" t="s">
        <v>831</v>
      </c>
    </row>
    <row r="59" spans="1:19" ht="70.05" customHeight="1" x14ac:dyDescent="0.3">
      <c r="A59" s="4" t="s">
        <v>832</v>
      </c>
      <c r="B59" s="4" t="s">
        <v>737</v>
      </c>
      <c r="C59" s="4" t="s">
        <v>833</v>
      </c>
      <c r="D59" s="4" t="s">
        <v>834</v>
      </c>
      <c r="E59" s="4" t="s">
        <v>74</v>
      </c>
      <c r="F59" s="4" t="s">
        <v>116</v>
      </c>
      <c r="G59" s="4" t="s">
        <v>93</v>
      </c>
      <c r="H59" s="4" t="s">
        <v>563</v>
      </c>
      <c r="I59" s="5">
        <v>1738785560</v>
      </c>
      <c r="J59" s="5">
        <v>607572471</v>
      </c>
      <c r="K59" s="5">
        <v>2346358031</v>
      </c>
      <c r="L59" s="6">
        <v>44159</v>
      </c>
      <c r="M59" s="6"/>
      <c r="N59" s="6">
        <v>44309</v>
      </c>
      <c r="O59" s="6">
        <v>44337</v>
      </c>
      <c r="P59" s="5">
        <v>61.77</v>
      </c>
      <c r="Q59" s="5">
        <v>61.03</v>
      </c>
      <c r="R59" s="4"/>
      <c r="S59" s="4" t="s">
        <v>97</v>
      </c>
    </row>
    <row r="60" spans="1:19" ht="70.05" customHeight="1" x14ac:dyDescent="0.3">
      <c r="A60" s="4" t="s">
        <v>835</v>
      </c>
      <c r="B60" s="4" t="s">
        <v>665</v>
      </c>
      <c r="C60" s="4" t="s">
        <v>836</v>
      </c>
      <c r="D60" s="4" t="s">
        <v>837</v>
      </c>
      <c r="E60" s="4" t="s">
        <v>74</v>
      </c>
      <c r="F60" s="4" t="s">
        <v>116</v>
      </c>
      <c r="G60" s="4" t="s">
        <v>61</v>
      </c>
      <c r="H60" s="4" t="s">
        <v>524</v>
      </c>
      <c r="I60" s="5">
        <v>1999000000</v>
      </c>
      <c r="J60" s="5">
        <v>512000000</v>
      </c>
      <c r="K60" s="5">
        <v>2511000000</v>
      </c>
      <c r="L60" s="6">
        <v>44159</v>
      </c>
      <c r="M60" s="6"/>
      <c r="N60" s="6">
        <v>44246</v>
      </c>
      <c r="O60" s="6">
        <v>44340</v>
      </c>
      <c r="P60" s="5">
        <v>99.99</v>
      </c>
      <c r="Q60" s="5">
        <v>100</v>
      </c>
      <c r="R60" s="4"/>
      <c r="S60" s="4" t="s">
        <v>838</v>
      </c>
    </row>
    <row r="61" spans="1:19" ht="70.05" customHeight="1" x14ac:dyDescent="0.3">
      <c r="A61" s="4" t="s">
        <v>839</v>
      </c>
      <c r="B61" s="4" t="s">
        <v>840</v>
      </c>
      <c r="C61" s="4" t="s">
        <v>841</v>
      </c>
      <c r="D61" s="4" t="s">
        <v>842</v>
      </c>
      <c r="E61" s="4" t="s">
        <v>74</v>
      </c>
      <c r="F61" s="4" t="s">
        <v>116</v>
      </c>
      <c r="G61" s="4" t="s">
        <v>93</v>
      </c>
      <c r="H61" s="4" t="s">
        <v>524</v>
      </c>
      <c r="I61" s="5">
        <v>1775630700</v>
      </c>
      <c r="J61" s="5">
        <v>118901400</v>
      </c>
      <c r="K61" s="5">
        <v>1894532100</v>
      </c>
      <c r="L61" s="6">
        <v>44368</v>
      </c>
      <c r="M61" s="6"/>
      <c r="N61" s="6">
        <v>44924</v>
      </c>
      <c r="O61" s="6">
        <v>44456</v>
      </c>
      <c r="P61" s="5">
        <v>94.11</v>
      </c>
      <c r="Q61" s="5">
        <v>94.38</v>
      </c>
      <c r="R61" s="4"/>
      <c r="S61" s="4" t="s">
        <v>653</v>
      </c>
    </row>
    <row r="62" spans="1:19" ht="70.05" customHeight="1" x14ac:dyDescent="0.3">
      <c r="A62" s="4" t="s">
        <v>843</v>
      </c>
      <c r="B62" s="4" t="s">
        <v>746</v>
      </c>
      <c r="C62" s="4" t="s">
        <v>844</v>
      </c>
      <c r="D62" s="4" t="s">
        <v>845</v>
      </c>
      <c r="E62" s="4" t="s">
        <v>74</v>
      </c>
      <c r="F62" s="4" t="s">
        <v>116</v>
      </c>
      <c r="G62" s="4" t="s">
        <v>93</v>
      </c>
      <c r="H62" s="4" t="s">
        <v>524</v>
      </c>
      <c r="I62" s="5">
        <v>750000000</v>
      </c>
      <c r="J62" s="5">
        <v>168904760</v>
      </c>
      <c r="K62" s="5">
        <v>918904760</v>
      </c>
      <c r="L62" s="6">
        <v>44377</v>
      </c>
      <c r="M62" s="6"/>
      <c r="N62" s="6">
        <v>44440</v>
      </c>
      <c r="O62" s="6">
        <v>44589</v>
      </c>
      <c r="P62" s="5">
        <v>55.76</v>
      </c>
      <c r="Q62" s="5">
        <v>60.48</v>
      </c>
      <c r="R62" s="4"/>
      <c r="S62" s="4" t="s">
        <v>69</v>
      </c>
    </row>
    <row r="63" spans="1:19" ht="70.05" customHeight="1" x14ac:dyDescent="0.3">
      <c r="A63" s="4" t="s">
        <v>846</v>
      </c>
      <c r="B63" s="4" t="s">
        <v>847</v>
      </c>
      <c r="C63" s="4" t="s">
        <v>848</v>
      </c>
      <c r="D63" s="4" t="s">
        <v>849</v>
      </c>
      <c r="E63" s="4" t="s">
        <v>74</v>
      </c>
      <c r="F63" s="4" t="s">
        <v>116</v>
      </c>
      <c r="G63" s="4" t="s">
        <v>93</v>
      </c>
      <c r="H63" s="4" t="s">
        <v>524</v>
      </c>
      <c r="I63" s="5">
        <v>2828005287</v>
      </c>
      <c r="J63" s="5">
        <v>241611863</v>
      </c>
      <c r="K63" s="5">
        <v>3069617150</v>
      </c>
      <c r="L63" s="6">
        <v>44348</v>
      </c>
      <c r="M63" s="6"/>
      <c r="N63" s="6">
        <v>44924</v>
      </c>
      <c r="O63" s="6">
        <v>44410</v>
      </c>
      <c r="P63" s="5">
        <v>94.61</v>
      </c>
      <c r="Q63" s="5">
        <v>83.98</v>
      </c>
      <c r="R63" s="4"/>
      <c r="S63" s="4" t="s">
        <v>700</v>
      </c>
    </row>
    <row r="64" spans="1:19" ht="70.05" customHeight="1" x14ac:dyDescent="0.3">
      <c r="A64" s="4" t="s">
        <v>850</v>
      </c>
      <c r="B64" s="4" t="s">
        <v>589</v>
      </c>
      <c r="C64" s="4" t="s">
        <v>851</v>
      </c>
      <c r="D64" s="4" t="s">
        <v>852</v>
      </c>
      <c r="E64" s="4" t="s">
        <v>102</v>
      </c>
      <c r="F64" s="4" t="s">
        <v>853</v>
      </c>
      <c r="G64" s="4" t="s">
        <v>93</v>
      </c>
      <c r="H64" s="4" t="s">
        <v>530</v>
      </c>
      <c r="I64" s="5">
        <v>69047758069</v>
      </c>
      <c r="J64" s="5">
        <v>0</v>
      </c>
      <c r="K64" s="5">
        <v>69047758069</v>
      </c>
      <c r="L64" s="6">
        <v>44551</v>
      </c>
      <c r="M64" s="6"/>
      <c r="N64" s="6">
        <v>44652</v>
      </c>
      <c r="O64" s="6">
        <v>44810</v>
      </c>
      <c r="P64" s="5">
        <v>93.54</v>
      </c>
      <c r="Q64" s="5">
        <v>94.51</v>
      </c>
      <c r="R64" s="4"/>
      <c r="S64" s="4" t="s">
        <v>854</v>
      </c>
    </row>
    <row r="65" spans="1:19" ht="70.05" customHeight="1" x14ac:dyDescent="0.3">
      <c r="A65" s="4" t="s">
        <v>855</v>
      </c>
      <c r="B65" s="4" t="s">
        <v>670</v>
      </c>
      <c r="C65" s="4" t="s">
        <v>856</v>
      </c>
      <c r="D65" s="4" t="s">
        <v>857</v>
      </c>
      <c r="E65" s="4" t="s">
        <v>74</v>
      </c>
      <c r="F65" s="4" t="s">
        <v>116</v>
      </c>
      <c r="G65" s="4" t="s">
        <v>93</v>
      </c>
      <c r="H65" s="4" t="s">
        <v>524</v>
      </c>
      <c r="I65" s="5">
        <v>17635937500</v>
      </c>
      <c r="J65" s="5">
        <v>782206000</v>
      </c>
      <c r="K65" s="5">
        <v>18418143500</v>
      </c>
      <c r="L65" s="6">
        <v>44330</v>
      </c>
      <c r="M65" s="6"/>
      <c r="N65" s="6">
        <v>44365</v>
      </c>
      <c r="O65" s="6">
        <v>44438</v>
      </c>
      <c r="P65" s="5">
        <v>81.39</v>
      </c>
      <c r="Q65" s="5">
        <v>81.650000000000006</v>
      </c>
      <c r="R65" s="4"/>
      <c r="S65" s="4" t="s">
        <v>858</v>
      </c>
    </row>
    <row r="66" spans="1:19" ht="70.05" customHeight="1" x14ac:dyDescent="0.3">
      <c r="A66" s="4" t="s">
        <v>859</v>
      </c>
      <c r="B66" s="4" t="s">
        <v>655</v>
      </c>
      <c r="C66" s="4" t="s">
        <v>860</v>
      </c>
      <c r="D66" s="4" t="s">
        <v>861</v>
      </c>
      <c r="E66" s="4" t="s">
        <v>74</v>
      </c>
      <c r="F66" s="4" t="s">
        <v>116</v>
      </c>
      <c r="G66" s="4" t="s">
        <v>93</v>
      </c>
      <c r="H66" s="4" t="s">
        <v>524</v>
      </c>
      <c r="I66" s="5">
        <v>1309600000</v>
      </c>
      <c r="J66" s="5">
        <v>210350000</v>
      </c>
      <c r="K66" s="5">
        <v>1519950000</v>
      </c>
      <c r="L66" s="6">
        <v>44348</v>
      </c>
      <c r="M66" s="6"/>
      <c r="N66" s="6">
        <v>44924</v>
      </c>
      <c r="O66" s="6">
        <v>44466</v>
      </c>
      <c r="P66" s="5">
        <v>93.84</v>
      </c>
      <c r="Q66" s="5">
        <v>95.06</v>
      </c>
      <c r="R66" s="4"/>
      <c r="S66" s="4" t="s">
        <v>658</v>
      </c>
    </row>
    <row r="67" spans="1:19" ht="70.05" customHeight="1" x14ac:dyDescent="0.3">
      <c r="A67" s="4" t="s">
        <v>862</v>
      </c>
      <c r="B67" s="4" t="s">
        <v>756</v>
      </c>
      <c r="C67" s="4" t="s">
        <v>863</v>
      </c>
      <c r="D67" s="4" t="s">
        <v>864</v>
      </c>
      <c r="E67" s="4" t="s">
        <v>74</v>
      </c>
      <c r="F67" s="4" t="s">
        <v>116</v>
      </c>
      <c r="G67" s="4" t="s">
        <v>93</v>
      </c>
      <c r="H67" s="4" t="s">
        <v>524</v>
      </c>
      <c r="I67" s="5">
        <v>2750000000</v>
      </c>
      <c r="J67" s="5">
        <v>25000000</v>
      </c>
      <c r="K67" s="5">
        <v>2775000000</v>
      </c>
      <c r="L67" s="6">
        <v>44384</v>
      </c>
      <c r="M67" s="6"/>
      <c r="N67" s="6">
        <v>44429</v>
      </c>
      <c r="O67" s="6">
        <v>44530</v>
      </c>
      <c r="P67" s="5">
        <v>89.45</v>
      </c>
      <c r="Q67" s="5">
        <v>96.7</v>
      </c>
      <c r="R67" s="4"/>
      <c r="S67" s="4" t="s">
        <v>865</v>
      </c>
    </row>
    <row r="68" spans="1:19" ht="70.05" customHeight="1" x14ac:dyDescent="0.3">
      <c r="A68" s="4" t="s">
        <v>866</v>
      </c>
      <c r="B68" s="4" t="s">
        <v>683</v>
      </c>
      <c r="C68" s="4" t="s">
        <v>867</v>
      </c>
      <c r="D68" s="4" t="s">
        <v>868</v>
      </c>
      <c r="E68" s="4" t="s">
        <v>74</v>
      </c>
      <c r="F68" s="4" t="s">
        <v>116</v>
      </c>
      <c r="G68" s="4" t="s">
        <v>93</v>
      </c>
      <c r="H68" s="4" t="s">
        <v>524</v>
      </c>
      <c r="I68" s="5">
        <v>1500000000</v>
      </c>
      <c r="J68" s="5">
        <v>353734000</v>
      </c>
      <c r="K68" s="5">
        <v>1853734000</v>
      </c>
      <c r="L68" s="6">
        <v>44368</v>
      </c>
      <c r="M68" s="6"/>
      <c r="N68" s="6">
        <v>44368</v>
      </c>
      <c r="O68" s="6">
        <v>44433</v>
      </c>
      <c r="P68" s="5">
        <v>96.28</v>
      </c>
      <c r="Q68" s="5">
        <v>93.62</v>
      </c>
      <c r="R68" s="4"/>
      <c r="S68" s="4" t="s">
        <v>653</v>
      </c>
    </row>
    <row r="69" spans="1:19" ht="70.05" customHeight="1" x14ac:dyDescent="0.3">
      <c r="A69" s="4" t="s">
        <v>869</v>
      </c>
      <c r="B69" s="4" t="s">
        <v>692</v>
      </c>
      <c r="C69" s="4" t="s">
        <v>870</v>
      </c>
      <c r="D69" s="4" t="s">
        <v>871</v>
      </c>
      <c r="E69" s="4" t="s">
        <v>74</v>
      </c>
      <c r="F69" s="4" t="s">
        <v>116</v>
      </c>
      <c r="G69" s="4" t="s">
        <v>93</v>
      </c>
      <c r="H69" s="4" t="s">
        <v>524</v>
      </c>
      <c r="I69" s="5">
        <v>1411798728</v>
      </c>
      <c r="J69" s="5">
        <v>120549808</v>
      </c>
      <c r="K69" s="5">
        <v>1532348536</v>
      </c>
      <c r="L69" s="6">
        <v>44368</v>
      </c>
      <c r="M69" s="6"/>
      <c r="N69" s="6">
        <v>44925</v>
      </c>
      <c r="O69" s="6">
        <v>44407</v>
      </c>
      <c r="P69" s="5">
        <v>96.02</v>
      </c>
      <c r="Q69" s="5">
        <v>88.96</v>
      </c>
      <c r="R69" s="4"/>
      <c r="S69" s="4" t="s">
        <v>668</v>
      </c>
    </row>
    <row r="70" spans="1:19" ht="70.05" customHeight="1" x14ac:dyDescent="0.3">
      <c r="A70" s="4" t="s">
        <v>872</v>
      </c>
      <c r="B70" s="4" t="s">
        <v>873</v>
      </c>
      <c r="C70" s="4" t="s">
        <v>874</v>
      </c>
      <c r="D70" s="4" t="s">
        <v>875</v>
      </c>
      <c r="E70" s="4" t="s">
        <v>74</v>
      </c>
      <c r="F70" s="4" t="s">
        <v>116</v>
      </c>
      <c r="G70" s="4" t="s">
        <v>93</v>
      </c>
      <c r="H70" s="4" t="s">
        <v>524</v>
      </c>
      <c r="I70" s="5">
        <v>1999997728</v>
      </c>
      <c r="J70" s="5">
        <v>663234720</v>
      </c>
      <c r="K70" s="5">
        <v>2663232448</v>
      </c>
      <c r="L70" s="6">
        <v>44536</v>
      </c>
      <c r="M70" s="6"/>
      <c r="N70" s="6">
        <v>44533</v>
      </c>
      <c r="O70" s="6">
        <v>44713</v>
      </c>
      <c r="P70" s="5">
        <v>90.56</v>
      </c>
      <c r="Q70" s="5">
        <v>43.52</v>
      </c>
      <c r="R70" s="4"/>
      <c r="S70" s="4" t="s">
        <v>876</v>
      </c>
    </row>
    <row r="71" spans="1:19" ht="70.05" customHeight="1" x14ac:dyDescent="0.3">
      <c r="A71" s="4" t="s">
        <v>877</v>
      </c>
      <c r="B71" s="4" t="s">
        <v>756</v>
      </c>
      <c r="C71" s="4" t="s">
        <v>878</v>
      </c>
      <c r="D71" s="4" t="s">
        <v>879</v>
      </c>
      <c r="E71" s="4" t="s">
        <v>74</v>
      </c>
      <c r="F71" s="4" t="s">
        <v>116</v>
      </c>
      <c r="G71" s="4" t="s">
        <v>93</v>
      </c>
      <c r="H71" s="4" t="s">
        <v>586</v>
      </c>
      <c r="I71" s="5">
        <v>1999667231.96</v>
      </c>
      <c r="J71" s="5">
        <v>1036153791.2</v>
      </c>
      <c r="K71" s="5">
        <v>3035821023.1599998</v>
      </c>
      <c r="L71" s="6">
        <v>44537</v>
      </c>
      <c r="M71" s="6"/>
      <c r="N71" s="6">
        <v>44606</v>
      </c>
      <c r="O71" s="6">
        <v>44721</v>
      </c>
      <c r="P71" s="5">
        <v>91.99</v>
      </c>
      <c r="Q71" s="5">
        <v>98.96</v>
      </c>
      <c r="R71" s="4"/>
      <c r="S71" s="4" t="s">
        <v>880</v>
      </c>
    </row>
    <row r="72" spans="1:19" ht="70.05" customHeight="1" x14ac:dyDescent="0.3">
      <c r="A72" s="4" t="s">
        <v>881</v>
      </c>
      <c r="B72" s="4" t="s">
        <v>756</v>
      </c>
      <c r="C72" s="4" t="s">
        <v>882</v>
      </c>
      <c r="D72" s="4" t="s">
        <v>883</v>
      </c>
      <c r="E72" s="4" t="s">
        <v>74</v>
      </c>
      <c r="F72" s="4" t="s">
        <v>116</v>
      </c>
      <c r="G72" s="4" t="s">
        <v>230</v>
      </c>
      <c r="H72" s="4" t="s">
        <v>884</v>
      </c>
      <c r="I72" s="5">
        <v>2000000000</v>
      </c>
      <c r="J72" s="5">
        <v>896725569</v>
      </c>
      <c r="K72" s="5">
        <v>2896725569</v>
      </c>
      <c r="L72" s="6">
        <v>44537</v>
      </c>
      <c r="M72" s="6"/>
      <c r="N72" s="6">
        <v>44606</v>
      </c>
      <c r="O72" s="6">
        <v>44740</v>
      </c>
      <c r="P72" s="5">
        <v>100.01</v>
      </c>
      <c r="Q72" s="5">
        <v>99.66</v>
      </c>
      <c r="R72" s="4"/>
      <c r="S72" s="4" t="s">
        <v>885</v>
      </c>
    </row>
    <row r="73" spans="1:19" ht="70.05" customHeight="1" x14ac:dyDescent="0.3">
      <c r="A73" s="4" t="s">
        <v>886</v>
      </c>
      <c r="B73" s="4" t="s">
        <v>702</v>
      </c>
      <c r="C73" s="4" t="s">
        <v>887</v>
      </c>
      <c r="D73" s="4" t="s">
        <v>888</v>
      </c>
      <c r="E73" s="4" t="s">
        <v>74</v>
      </c>
      <c r="F73" s="4" t="s">
        <v>116</v>
      </c>
      <c r="G73" s="4" t="s">
        <v>93</v>
      </c>
      <c r="H73" s="4" t="s">
        <v>514</v>
      </c>
      <c r="I73" s="5">
        <v>1953855779</v>
      </c>
      <c r="J73" s="5">
        <v>505920337</v>
      </c>
      <c r="K73" s="5">
        <v>2459776116</v>
      </c>
      <c r="L73" s="6">
        <v>44537</v>
      </c>
      <c r="M73" s="6"/>
      <c r="N73" s="6">
        <v>44606</v>
      </c>
      <c r="O73" s="6">
        <v>44713</v>
      </c>
      <c r="P73" s="5">
        <v>98.32</v>
      </c>
      <c r="Q73" s="5">
        <v>98.46</v>
      </c>
      <c r="R73" s="4"/>
      <c r="S73" s="4" t="s">
        <v>97</v>
      </c>
    </row>
    <row r="74" spans="1:19" ht="70.05" customHeight="1" x14ac:dyDescent="0.3">
      <c r="A74" s="4" t="s">
        <v>889</v>
      </c>
      <c r="B74" s="4" t="s">
        <v>665</v>
      </c>
      <c r="C74" s="4" t="s">
        <v>890</v>
      </c>
      <c r="D74" s="4" t="s">
        <v>891</v>
      </c>
      <c r="E74" s="4" t="s">
        <v>74</v>
      </c>
      <c r="F74" s="4" t="s">
        <v>116</v>
      </c>
      <c r="G74" s="4" t="s">
        <v>61</v>
      </c>
      <c r="H74" s="4" t="s">
        <v>514</v>
      </c>
      <c r="I74" s="5">
        <v>4351936180</v>
      </c>
      <c r="J74" s="5">
        <v>100000000</v>
      </c>
      <c r="K74" s="5">
        <v>4451936180</v>
      </c>
      <c r="L74" s="6">
        <v>44552</v>
      </c>
      <c r="M74" s="6"/>
      <c r="N74" s="6">
        <v>44560</v>
      </c>
      <c r="O74" s="6">
        <v>44588</v>
      </c>
      <c r="P74" s="5">
        <v>100</v>
      </c>
      <c r="Q74" s="5">
        <v>99.61</v>
      </c>
      <c r="R74" s="4"/>
      <c r="S74" s="4" t="s">
        <v>69</v>
      </c>
    </row>
    <row r="75" spans="1:19" ht="70.05" customHeight="1" x14ac:dyDescent="0.3">
      <c r="A75" s="4" t="s">
        <v>892</v>
      </c>
      <c r="B75" s="4" t="s">
        <v>665</v>
      </c>
      <c r="C75" s="4" t="s">
        <v>893</v>
      </c>
      <c r="D75" s="4" t="s">
        <v>894</v>
      </c>
      <c r="E75" s="4" t="s">
        <v>74</v>
      </c>
      <c r="F75" s="4" t="s">
        <v>116</v>
      </c>
      <c r="G75" s="4" t="s">
        <v>61</v>
      </c>
      <c r="H75" s="4" t="s">
        <v>524</v>
      </c>
      <c r="I75" s="5">
        <v>19906880779</v>
      </c>
      <c r="J75" s="5">
        <v>72000000</v>
      </c>
      <c r="K75" s="5">
        <v>19978880779</v>
      </c>
      <c r="L75" s="6">
        <v>44700</v>
      </c>
      <c r="M75" s="6"/>
      <c r="N75" s="6">
        <v>44756</v>
      </c>
      <c r="O75" s="6">
        <v>44783</v>
      </c>
      <c r="P75" s="5">
        <v>100.01</v>
      </c>
      <c r="Q75" s="5">
        <v>99.34</v>
      </c>
      <c r="R75" s="4"/>
      <c r="S75" s="4" t="s">
        <v>895</v>
      </c>
    </row>
    <row r="76" spans="1:19" ht="70.05" customHeight="1" x14ac:dyDescent="0.3">
      <c r="A76" s="4" t="s">
        <v>896</v>
      </c>
      <c r="B76" s="4" t="s">
        <v>633</v>
      </c>
      <c r="C76" s="4" t="s">
        <v>897</v>
      </c>
      <c r="D76" s="4" t="s">
        <v>898</v>
      </c>
      <c r="E76" s="4" t="s">
        <v>282</v>
      </c>
      <c r="F76" s="4" t="s">
        <v>238</v>
      </c>
      <c r="G76" s="4" t="s">
        <v>61</v>
      </c>
      <c r="H76" s="4" t="s">
        <v>514</v>
      </c>
      <c r="I76" s="5">
        <v>3981132848.27</v>
      </c>
      <c r="J76" s="5">
        <v>0</v>
      </c>
      <c r="K76" s="5">
        <v>3981132848.27</v>
      </c>
      <c r="L76" s="6">
        <v>44509</v>
      </c>
      <c r="M76" s="6"/>
      <c r="N76" s="6">
        <v>44511</v>
      </c>
      <c r="O76" s="6">
        <v>44594</v>
      </c>
      <c r="P76" s="5">
        <v>100</v>
      </c>
      <c r="Q76" s="5">
        <v>99.86</v>
      </c>
      <c r="R76" s="4"/>
      <c r="S76" s="4" t="s">
        <v>899</v>
      </c>
    </row>
    <row r="77" spans="1:19" ht="70.05" customHeight="1" x14ac:dyDescent="0.3">
      <c r="A77" s="4" t="s">
        <v>900</v>
      </c>
      <c r="B77" s="4" t="s">
        <v>901</v>
      </c>
      <c r="C77" s="4" t="s">
        <v>902</v>
      </c>
      <c r="D77" s="4"/>
      <c r="E77" s="4" t="s">
        <v>102</v>
      </c>
      <c r="F77" s="4" t="s">
        <v>903</v>
      </c>
      <c r="G77" s="4" t="s">
        <v>373</v>
      </c>
      <c r="H77" s="4" t="s">
        <v>579</v>
      </c>
      <c r="I77" s="5">
        <v>2407058486</v>
      </c>
      <c r="J77" s="5">
        <v>216768.82000017169</v>
      </c>
      <c r="K77" s="5">
        <v>2407275254.8200002</v>
      </c>
      <c r="L77" s="6">
        <v>44844</v>
      </c>
      <c r="M77" s="6"/>
      <c r="N77" s="6"/>
      <c r="O77" s="6"/>
      <c r="P77" s="5">
        <v>0</v>
      </c>
      <c r="Q77" s="5">
        <v>0</v>
      </c>
      <c r="R77" s="4"/>
      <c r="S77" s="4" t="s">
        <v>140</v>
      </c>
    </row>
    <row r="78" spans="1:19" ht="70.05" customHeight="1" x14ac:dyDescent="0.3">
      <c r="A78" s="4" t="s">
        <v>904</v>
      </c>
      <c r="B78" s="4" t="s">
        <v>633</v>
      </c>
      <c r="C78" s="4" t="s">
        <v>905</v>
      </c>
      <c r="D78" s="4" t="s">
        <v>906</v>
      </c>
      <c r="E78" s="4" t="s">
        <v>102</v>
      </c>
      <c r="F78" s="4" t="s">
        <v>907</v>
      </c>
      <c r="G78" s="4" t="s">
        <v>93</v>
      </c>
      <c r="H78" s="4" t="s">
        <v>524</v>
      </c>
      <c r="I78" s="5">
        <v>45601872749</v>
      </c>
      <c r="J78" s="5">
        <v>0</v>
      </c>
      <c r="K78" s="5">
        <v>45601872749</v>
      </c>
      <c r="L78" s="6">
        <v>44560</v>
      </c>
      <c r="M78" s="6"/>
      <c r="N78" s="6">
        <v>44559</v>
      </c>
      <c r="O78" s="6">
        <v>44669</v>
      </c>
      <c r="P78" s="5">
        <v>86.14</v>
      </c>
      <c r="Q78" s="5">
        <v>92.14</v>
      </c>
      <c r="R78" s="4"/>
      <c r="S78" s="4" t="s">
        <v>899</v>
      </c>
    </row>
    <row r="79" spans="1:19" ht="70.05" customHeight="1" x14ac:dyDescent="0.3">
      <c r="A79" s="4" t="s">
        <v>908</v>
      </c>
      <c r="B79" s="4" t="s">
        <v>909</v>
      </c>
      <c r="C79" s="4" t="s">
        <v>910</v>
      </c>
      <c r="D79" s="4" t="s">
        <v>911</v>
      </c>
      <c r="E79" s="4" t="s">
        <v>102</v>
      </c>
      <c r="F79" s="4" t="s">
        <v>105</v>
      </c>
      <c r="G79" s="4" t="s">
        <v>61</v>
      </c>
      <c r="H79" s="4" t="s">
        <v>524</v>
      </c>
      <c r="I79" s="5">
        <v>2489078661</v>
      </c>
      <c r="J79" s="5">
        <v>0</v>
      </c>
      <c r="K79" s="5">
        <v>2489078661</v>
      </c>
      <c r="L79" s="6">
        <v>44559</v>
      </c>
      <c r="M79" s="6"/>
      <c r="N79" s="6">
        <v>44559</v>
      </c>
      <c r="O79" s="6">
        <v>44810</v>
      </c>
      <c r="P79" s="5">
        <v>100</v>
      </c>
      <c r="Q79" s="5">
        <v>99.97</v>
      </c>
      <c r="R79" s="4"/>
      <c r="S79" s="4" t="s">
        <v>97</v>
      </c>
    </row>
    <row r="80" spans="1:19" ht="70.05" customHeight="1" x14ac:dyDescent="0.3">
      <c r="A80" s="4" t="s">
        <v>912</v>
      </c>
      <c r="B80" s="4" t="s">
        <v>913</v>
      </c>
      <c r="C80" s="4" t="s">
        <v>914</v>
      </c>
      <c r="D80" s="4" t="s">
        <v>915</v>
      </c>
      <c r="E80" s="4" t="s">
        <v>102</v>
      </c>
      <c r="F80" s="4" t="s">
        <v>105</v>
      </c>
      <c r="G80" s="4" t="s">
        <v>93</v>
      </c>
      <c r="H80" s="4" t="s">
        <v>530</v>
      </c>
      <c r="I80" s="5">
        <v>18036167387.900002</v>
      </c>
      <c r="J80" s="5">
        <v>0</v>
      </c>
      <c r="K80" s="5">
        <v>18036167387.900002</v>
      </c>
      <c r="L80" s="6">
        <v>44559</v>
      </c>
      <c r="M80" s="6"/>
      <c r="N80" s="6"/>
      <c r="O80" s="6">
        <v>44708</v>
      </c>
      <c r="P80" s="5">
        <v>81.45</v>
      </c>
      <c r="Q80" s="5">
        <v>82.2</v>
      </c>
      <c r="R80" s="4"/>
      <c r="S80" s="4" t="s">
        <v>140</v>
      </c>
    </row>
    <row r="81" spans="1:19" ht="70.05" customHeight="1" x14ac:dyDescent="0.3">
      <c r="A81" s="4" t="s">
        <v>916</v>
      </c>
      <c r="B81" s="4" t="s">
        <v>909</v>
      </c>
      <c r="C81" s="4" t="s">
        <v>917</v>
      </c>
      <c r="D81" s="4" t="s">
        <v>918</v>
      </c>
      <c r="E81" s="4" t="s">
        <v>102</v>
      </c>
      <c r="F81" s="4" t="s">
        <v>186</v>
      </c>
      <c r="G81" s="4" t="s">
        <v>93</v>
      </c>
      <c r="H81" s="4" t="s">
        <v>530</v>
      </c>
      <c r="I81" s="5">
        <v>41816156185</v>
      </c>
      <c r="J81" s="5">
        <v>0</v>
      </c>
      <c r="K81" s="5">
        <v>41816156185</v>
      </c>
      <c r="L81" s="6">
        <v>44624</v>
      </c>
      <c r="M81" s="6"/>
      <c r="N81" s="6">
        <v>44624</v>
      </c>
      <c r="O81" s="6">
        <v>44873</v>
      </c>
      <c r="P81" s="5">
        <v>64.319999999999993</v>
      </c>
      <c r="Q81" s="5">
        <v>73.13</v>
      </c>
      <c r="R81" s="4"/>
      <c r="S81" s="4" t="s">
        <v>97</v>
      </c>
    </row>
    <row r="82" spans="1:19" ht="70.05" customHeight="1" x14ac:dyDescent="0.3">
      <c r="A82" s="4" t="s">
        <v>919</v>
      </c>
      <c r="B82" s="4" t="s">
        <v>665</v>
      </c>
      <c r="C82" s="4" t="s">
        <v>920</v>
      </c>
      <c r="D82" s="4" t="s">
        <v>921</v>
      </c>
      <c r="E82" s="4" t="s">
        <v>74</v>
      </c>
      <c r="F82" s="4" t="s">
        <v>116</v>
      </c>
      <c r="G82" s="4" t="s">
        <v>93</v>
      </c>
      <c r="H82" s="4" t="s">
        <v>524</v>
      </c>
      <c r="I82" s="5">
        <v>9606506835</v>
      </c>
      <c r="J82" s="5">
        <v>90000000</v>
      </c>
      <c r="K82" s="5">
        <v>9696506835</v>
      </c>
      <c r="L82" s="6">
        <v>44887</v>
      </c>
      <c r="M82" s="6"/>
      <c r="N82" s="6">
        <v>44911</v>
      </c>
      <c r="O82" s="6">
        <v>45070</v>
      </c>
      <c r="P82" s="5">
        <v>99.96</v>
      </c>
      <c r="Q82" s="5">
        <v>92.4</v>
      </c>
      <c r="R82" s="4"/>
      <c r="S82" s="4" t="s">
        <v>69</v>
      </c>
    </row>
    <row r="83" spans="1:19" ht="70.05" customHeight="1" x14ac:dyDescent="0.3">
      <c r="A83" s="4" t="s">
        <v>922</v>
      </c>
      <c r="B83" s="4" t="s">
        <v>923</v>
      </c>
      <c r="C83" s="4" t="s">
        <v>924</v>
      </c>
      <c r="D83" s="4" t="s">
        <v>925</v>
      </c>
      <c r="E83" s="4" t="s">
        <v>74</v>
      </c>
      <c r="F83" s="4" t="s">
        <v>116</v>
      </c>
      <c r="G83" s="4" t="s">
        <v>61</v>
      </c>
      <c r="H83" s="4" t="s">
        <v>586</v>
      </c>
      <c r="I83" s="5">
        <v>500000000</v>
      </c>
      <c r="J83" s="5">
        <v>85470000</v>
      </c>
      <c r="K83" s="5">
        <v>585470000</v>
      </c>
      <c r="L83" s="6">
        <v>44887</v>
      </c>
      <c r="M83" s="6"/>
      <c r="N83" s="6">
        <v>44930</v>
      </c>
      <c r="O83" s="6">
        <v>44986</v>
      </c>
      <c r="P83" s="5">
        <v>100</v>
      </c>
      <c r="Q83" s="5">
        <v>95.06</v>
      </c>
      <c r="R83" s="4"/>
      <c r="S83" s="4" t="s">
        <v>97</v>
      </c>
    </row>
    <row r="84" spans="1:19" ht="70.05" customHeight="1" x14ac:dyDescent="0.3">
      <c r="A84" s="4" t="s">
        <v>926</v>
      </c>
      <c r="B84" s="4" t="s">
        <v>927</v>
      </c>
      <c r="C84" s="4" t="s">
        <v>928</v>
      </c>
      <c r="D84" s="4" t="s">
        <v>929</v>
      </c>
      <c r="E84" s="4" t="s">
        <v>74</v>
      </c>
      <c r="F84" s="4" t="s">
        <v>116</v>
      </c>
      <c r="G84" s="4" t="s">
        <v>93</v>
      </c>
      <c r="H84" s="4" t="s">
        <v>524</v>
      </c>
      <c r="I84" s="5">
        <v>4299593384</v>
      </c>
      <c r="J84" s="5">
        <v>126145067</v>
      </c>
      <c r="K84" s="5">
        <v>4425738451</v>
      </c>
      <c r="L84" s="6">
        <v>44914</v>
      </c>
      <c r="M84" s="6"/>
      <c r="N84" s="6">
        <v>45055</v>
      </c>
      <c r="O84" s="6">
        <v>45139</v>
      </c>
      <c r="P84" s="5">
        <v>82.82</v>
      </c>
      <c r="Q84" s="5">
        <v>82.73</v>
      </c>
      <c r="R84" s="4"/>
      <c r="S84" s="4" t="s">
        <v>97</v>
      </c>
    </row>
    <row r="85" spans="1:19" ht="70.05" customHeight="1" x14ac:dyDescent="0.3">
      <c r="A85" s="4" t="s">
        <v>930</v>
      </c>
      <c r="B85" s="4" t="s">
        <v>931</v>
      </c>
      <c r="C85" s="4" t="s">
        <v>932</v>
      </c>
      <c r="D85" s="4" t="s">
        <v>933</v>
      </c>
      <c r="E85" s="4" t="s">
        <v>221</v>
      </c>
      <c r="F85" s="4" t="s">
        <v>105</v>
      </c>
      <c r="G85" s="4" t="s">
        <v>61</v>
      </c>
      <c r="H85" s="4" t="s">
        <v>514</v>
      </c>
      <c r="I85" s="5">
        <v>29623316906.279999</v>
      </c>
      <c r="J85" s="5">
        <v>0</v>
      </c>
      <c r="K85" s="5">
        <v>29623316906.279999</v>
      </c>
      <c r="L85" s="6">
        <v>44925</v>
      </c>
      <c r="M85" s="6"/>
      <c r="N85" s="6">
        <v>44952</v>
      </c>
      <c r="O85" s="6">
        <v>45030</v>
      </c>
      <c r="P85" s="5">
        <v>98.28</v>
      </c>
      <c r="Q85" s="5">
        <v>93.6</v>
      </c>
      <c r="R85" s="4"/>
      <c r="S85" s="4" t="s">
        <v>97</v>
      </c>
    </row>
    <row r="86" spans="1:19" ht="70.05" customHeight="1" x14ac:dyDescent="0.3">
      <c r="A86" s="4" t="s">
        <v>934</v>
      </c>
      <c r="B86" s="4" t="s">
        <v>935</v>
      </c>
      <c r="C86" s="4" t="s">
        <v>936</v>
      </c>
      <c r="D86" s="4" t="s">
        <v>937</v>
      </c>
      <c r="E86" s="4" t="s">
        <v>102</v>
      </c>
      <c r="F86" s="4" t="s">
        <v>186</v>
      </c>
      <c r="G86" s="4" t="s">
        <v>93</v>
      </c>
      <c r="H86" s="4" t="s">
        <v>530</v>
      </c>
      <c r="I86" s="5">
        <v>30461715692</v>
      </c>
      <c r="J86" s="5">
        <v>0</v>
      </c>
      <c r="K86" s="5">
        <v>30461715692</v>
      </c>
      <c r="L86" s="6">
        <v>45064</v>
      </c>
      <c r="M86" s="6"/>
      <c r="N86" s="6">
        <v>45202</v>
      </c>
      <c r="O86" s="6">
        <v>45289</v>
      </c>
      <c r="P86" s="5">
        <v>83.59</v>
      </c>
      <c r="Q86" s="5">
        <v>90.33</v>
      </c>
      <c r="R86" s="4"/>
      <c r="S86" s="4" t="s">
        <v>938</v>
      </c>
    </row>
    <row r="87" spans="1:19" ht="70.05" customHeight="1" x14ac:dyDescent="0.3">
      <c r="A87" s="4" t="s">
        <v>939</v>
      </c>
      <c r="B87" s="4" t="s">
        <v>940</v>
      </c>
      <c r="C87" s="4" t="s">
        <v>941</v>
      </c>
      <c r="D87" s="4" t="s">
        <v>942</v>
      </c>
      <c r="E87" s="4" t="s">
        <v>74</v>
      </c>
      <c r="F87" s="4" t="s">
        <v>116</v>
      </c>
      <c r="G87" s="4" t="s">
        <v>93</v>
      </c>
      <c r="H87" s="4" t="s">
        <v>524</v>
      </c>
      <c r="I87" s="5">
        <v>17454000000</v>
      </c>
      <c r="J87" s="5">
        <v>307000000</v>
      </c>
      <c r="K87" s="5">
        <v>17761000000</v>
      </c>
      <c r="L87" s="6">
        <v>45154</v>
      </c>
      <c r="M87" s="6"/>
      <c r="N87" s="6">
        <v>45428</v>
      </c>
      <c r="O87" s="6">
        <v>45317</v>
      </c>
      <c r="P87" s="5">
        <v>73.41</v>
      </c>
      <c r="Q87" s="5">
        <v>66.63</v>
      </c>
      <c r="R87" s="4"/>
      <c r="S87" s="4" t="s">
        <v>97</v>
      </c>
    </row>
    <row r="88" spans="1:19" ht="70.05" customHeight="1" x14ac:dyDescent="0.3">
      <c r="A88" s="4" t="s">
        <v>943</v>
      </c>
      <c r="B88" s="4" t="s">
        <v>944</v>
      </c>
      <c r="C88" s="4" t="s">
        <v>945</v>
      </c>
      <c r="D88" s="4" t="s">
        <v>946</v>
      </c>
      <c r="E88" s="4" t="s">
        <v>74</v>
      </c>
      <c r="F88" s="4" t="s">
        <v>213</v>
      </c>
      <c r="G88" s="4" t="s">
        <v>93</v>
      </c>
      <c r="H88" s="4" t="s">
        <v>524</v>
      </c>
      <c r="I88" s="5">
        <v>8419333809</v>
      </c>
      <c r="J88" s="5">
        <v>1511453285</v>
      </c>
      <c r="K88" s="5">
        <v>9930787094</v>
      </c>
      <c r="L88" s="6">
        <v>45154</v>
      </c>
      <c r="M88" s="6"/>
      <c r="N88" s="6">
        <v>45281</v>
      </c>
      <c r="O88" s="6">
        <v>45328</v>
      </c>
      <c r="P88" s="5">
        <v>39.99</v>
      </c>
      <c r="Q88" s="5">
        <v>75.38</v>
      </c>
      <c r="R88" s="4"/>
      <c r="S88" s="4" t="s">
        <v>947</v>
      </c>
    </row>
    <row r="89" spans="1:19" ht="70.05" customHeight="1" x14ac:dyDescent="0.3">
      <c r="A89" s="4" t="s">
        <v>948</v>
      </c>
      <c r="B89" s="4" t="s">
        <v>949</v>
      </c>
      <c r="C89" s="4" t="s">
        <v>950</v>
      </c>
      <c r="D89" s="4" t="s">
        <v>951</v>
      </c>
      <c r="E89" s="4" t="s">
        <v>388</v>
      </c>
      <c r="F89" s="4" t="s">
        <v>952</v>
      </c>
      <c r="G89" s="4" t="s">
        <v>93</v>
      </c>
      <c r="H89" s="4" t="s">
        <v>524</v>
      </c>
      <c r="I89" s="5">
        <v>94461519789</v>
      </c>
      <c r="J89" s="5">
        <v>0</v>
      </c>
      <c r="K89" s="5">
        <v>94461519789</v>
      </c>
      <c r="L89" s="6">
        <v>45290</v>
      </c>
      <c r="M89" s="6"/>
      <c r="N89" s="6">
        <v>45369</v>
      </c>
      <c r="O89" s="6">
        <v>45539</v>
      </c>
      <c r="P89" s="5">
        <v>77.47</v>
      </c>
      <c r="Q89" s="5">
        <v>92.23</v>
      </c>
      <c r="R89" s="4"/>
      <c r="S89" s="4" t="s">
        <v>285</v>
      </c>
    </row>
    <row r="90" spans="1:19" ht="70.05" customHeight="1" x14ac:dyDescent="0.3">
      <c r="A90" s="4" t="s">
        <v>953</v>
      </c>
      <c r="B90" s="4" t="s">
        <v>746</v>
      </c>
      <c r="C90" s="4" t="s">
        <v>954</v>
      </c>
      <c r="D90" s="4" t="s">
        <v>955</v>
      </c>
      <c r="E90" s="4" t="s">
        <v>74</v>
      </c>
      <c r="F90" s="4" t="s">
        <v>956</v>
      </c>
      <c r="G90" s="4" t="s">
        <v>93</v>
      </c>
      <c r="H90" s="4" t="s">
        <v>524</v>
      </c>
      <c r="I90" s="5">
        <v>3362968761</v>
      </c>
      <c r="J90" s="5">
        <v>1180580884</v>
      </c>
      <c r="K90" s="5">
        <v>4543549645</v>
      </c>
      <c r="L90" s="6">
        <v>45596</v>
      </c>
      <c r="M90" s="6"/>
      <c r="N90" s="6">
        <v>45649</v>
      </c>
      <c r="O90" s="6">
        <v>45721</v>
      </c>
      <c r="P90" s="5">
        <v>23.04</v>
      </c>
      <c r="Q90" s="5">
        <v>22.96</v>
      </c>
      <c r="R90" s="4"/>
      <c r="S90" s="4" t="s">
        <v>957</v>
      </c>
    </row>
    <row r="91" spans="1:19" ht="70.05" customHeight="1" x14ac:dyDescent="0.3">
      <c r="A91" s="4" t="s">
        <v>958</v>
      </c>
      <c r="B91" s="4" t="s">
        <v>840</v>
      </c>
      <c r="C91" s="4" t="s">
        <v>959</v>
      </c>
      <c r="D91" s="4" t="s">
        <v>960</v>
      </c>
      <c r="E91" s="4" t="s">
        <v>74</v>
      </c>
      <c r="F91" s="4" t="s">
        <v>116</v>
      </c>
      <c r="G91" s="4" t="s">
        <v>93</v>
      </c>
      <c r="H91" s="4" t="s">
        <v>524</v>
      </c>
      <c r="I91" s="5">
        <v>23600000000</v>
      </c>
      <c r="J91" s="5">
        <v>918488200</v>
      </c>
      <c r="K91" s="5">
        <v>24518488200</v>
      </c>
      <c r="L91" s="6">
        <v>45861</v>
      </c>
      <c r="M91" s="6"/>
      <c r="N91" s="6">
        <v>45916</v>
      </c>
      <c r="O91" s="6">
        <v>45965</v>
      </c>
      <c r="P91" s="5">
        <v>0.01</v>
      </c>
      <c r="Q91" s="5">
        <v>0</v>
      </c>
      <c r="R91" s="4"/>
      <c r="S91" s="4" t="s">
        <v>97</v>
      </c>
    </row>
    <row r="92" spans="1:19" ht="70.05" customHeight="1" x14ac:dyDescent="0.3">
      <c r="A92" s="4" t="s">
        <v>961</v>
      </c>
      <c r="B92" s="4" t="s">
        <v>650</v>
      </c>
      <c r="C92" s="4" t="s">
        <v>962</v>
      </c>
      <c r="D92" s="4" t="s">
        <v>963</v>
      </c>
      <c r="E92" s="4" t="s">
        <v>74</v>
      </c>
      <c r="F92" s="4" t="s">
        <v>213</v>
      </c>
      <c r="G92" s="4" t="s">
        <v>93</v>
      </c>
      <c r="H92" s="4" t="s">
        <v>524</v>
      </c>
      <c r="I92" s="5">
        <v>30000000000</v>
      </c>
      <c r="J92" s="5">
        <v>1068885740</v>
      </c>
      <c r="K92" s="5">
        <v>31068885740</v>
      </c>
      <c r="L92" s="6">
        <v>45861</v>
      </c>
      <c r="M92" s="6"/>
      <c r="N92" s="6">
        <v>45904</v>
      </c>
      <c r="O92" s="6">
        <v>45976</v>
      </c>
      <c r="P92" s="5">
        <v>2.39</v>
      </c>
      <c r="Q92" s="5">
        <v>1.17</v>
      </c>
      <c r="R92" s="4"/>
      <c r="S92" s="4" t="s">
        <v>97</v>
      </c>
    </row>
    <row r="93" spans="1:19" ht="70.05" customHeight="1" x14ac:dyDescent="0.3">
      <c r="A93" s="4" t="s">
        <v>964</v>
      </c>
      <c r="B93" s="4" t="s">
        <v>756</v>
      </c>
      <c r="C93" s="4" t="s">
        <v>965</v>
      </c>
      <c r="D93" s="4"/>
      <c r="E93" s="4" t="s">
        <v>74</v>
      </c>
      <c r="F93" s="4" t="s">
        <v>213</v>
      </c>
      <c r="G93" s="4" t="s">
        <v>93</v>
      </c>
      <c r="H93" s="4" t="s">
        <v>524</v>
      </c>
      <c r="I93" s="5">
        <v>30000000000</v>
      </c>
      <c r="J93" s="5">
        <v>899136874.04999924</v>
      </c>
      <c r="K93" s="5">
        <v>30899136874.049999</v>
      </c>
      <c r="L93" s="6">
        <v>45861</v>
      </c>
      <c r="M93" s="6"/>
      <c r="N93" s="6">
        <v>45926</v>
      </c>
      <c r="O93" s="6">
        <v>45980</v>
      </c>
      <c r="P93" s="5">
        <v>8.8000000000000007</v>
      </c>
      <c r="Q93" s="5">
        <v>10.53</v>
      </c>
      <c r="R93" s="4"/>
      <c r="S93" s="4" t="s">
        <v>97</v>
      </c>
    </row>
    <row r="94" spans="1:19" ht="70.05" customHeight="1" x14ac:dyDescent="0.3">
      <c r="A94" s="4" t="s">
        <v>966</v>
      </c>
      <c r="B94" s="4" t="s">
        <v>967</v>
      </c>
      <c r="C94" s="4" t="s">
        <v>968</v>
      </c>
      <c r="D94" s="4"/>
      <c r="E94" s="4" t="s">
        <v>235</v>
      </c>
      <c r="F94" s="4" t="s">
        <v>238</v>
      </c>
      <c r="G94" s="4" t="s">
        <v>93</v>
      </c>
      <c r="H94" s="4" t="s">
        <v>524</v>
      </c>
      <c r="I94" s="5">
        <v>172253454</v>
      </c>
      <c r="J94" s="5">
        <v>0</v>
      </c>
      <c r="K94" s="5">
        <v>172253454</v>
      </c>
      <c r="L94" s="6">
        <v>45715</v>
      </c>
      <c r="M94" s="6"/>
      <c r="N94" s="6">
        <v>46008</v>
      </c>
      <c r="O94" s="6">
        <v>46014</v>
      </c>
      <c r="P94" s="5">
        <v>100</v>
      </c>
      <c r="Q94" s="5">
        <v>90</v>
      </c>
      <c r="R94" s="4"/>
      <c r="S94" s="4" t="s">
        <v>97</v>
      </c>
    </row>
    <row r="95" spans="1:19" ht="70.05" customHeight="1" x14ac:dyDescent="0.3">
      <c r="A95" s="4" t="s">
        <v>969</v>
      </c>
      <c r="B95" s="4" t="s">
        <v>970</v>
      </c>
      <c r="C95" s="4" t="s">
        <v>971</v>
      </c>
      <c r="D95" s="4" t="s">
        <v>972</v>
      </c>
      <c r="E95" s="4" t="s">
        <v>235</v>
      </c>
      <c r="F95" s="4" t="s">
        <v>238</v>
      </c>
      <c r="G95" s="4" t="s">
        <v>93</v>
      </c>
      <c r="H95" s="4" t="s">
        <v>530</v>
      </c>
      <c r="I95" s="5">
        <v>511865531</v>
      </c>
      <c r="J95" s="5">
        <v>200000000</v>
      </c>
      <c r="K95" s="5">
        <v>711865531</v>
      </c>
      <c r="L95" s="6">
        <v>45756</v>
      </c>
      <c r="M95" s="6"/>
      <c r="N95" s="6">
        <v>45775</v>
      </c>
      <c r="O95" s="6">
        <v>45922</v>
      </c>
      <c r="P95" s="5">
        <v>79.33</v>
      </c>
      <c r="Q95" s="5">
        <v>69.88</v>
      </c>
      <c r="R95" s="4"/>
      <c r="S95" s="4" t="s">
        <v>973</v>
      </c>
    </row>
    <row r="96" spans="1:19" ht="70.05" customHeight="1" x14ac:dyDescent="0.3">
      <c r="A96" s="4" t="s">
        <v>974</v>
      </c>
      <c r="B96" s="4" t="s">
        <v>975</v>
      </c>
      <c r="C96" s="4" t="s">
        <v>976</v>
      </c>
      <c r="D96" s="4"/>
      <c r="E96" s="4" t="s">
        <v>307</v>
      </c>
      <c r="F96" s="4" t="s">
        <v>238</v>
      </c>
      <c r="G96" s="4" t="s">
        <v>373</v>
      </c>
      <c r="H96" s="4" t="s">
        <v>579</v>
      </c>
      <c r="I96" s="5">
        <v>386045990.94</v>
      </c>
      <c r="J96" s="5">
        <v>200000000.00000009</v>
      </c>
      <c r="K96" s="5">
        <v>586045990.94000006</v>
      </c>
      <c r="L96" s="6">
        <v>45917</v>
      </c>
      <c r="M96" s="6"/>
      <c r="N96" s="6">
        <v>45938</v>
      </c>
      <c r="O96" s="6"/>
      <c r="P96" s="5">
        <v>0</v>
      </c>
      <c r="Q96" s="5">
        <v>0</v>
      </c>
      <c r="R96" s="4"/>
      <c r="S96" s="4" t="s">
        <v>977</v>
      </c>
    </row>
    <row r="97" spans="1:19" ht="70.05" customHeight="1" x14ac:dyDescent="0.3">
      <c r="A97" s="4" t="s">
        <v>978</v>
      </c>
      <c r="B97" s="4" t="s">
        <v>979</v>
      </c>
      <c r="C97" s="4" t="s">
        <v>980</v>
      </c>
      <c r="D97" s="4" t="s">
        <v>981</v>
      </c>
      <c r="E97" s="4" t="s">
        <v>102</v>
      </c>
      <c r="F97" s="4" t="s">
        <v>105</v>
      </c>
      <c r="G97" s="4" t="s">
        <v>93</v>
      </c>
      <c r="H97" s="4" t="s">
        <v>524</v>
      </c>
      <c r="I97" s="5">
        <v>59900815918</v>
      </c>
      <c r="J97" s="5">
        <v>0</v>
      </c>
      <c r="K97" s="5">
        <v>59900815918</v>
      </c>
      <c r="L97" s="6">
        <v>45911</v>
      </c>
      <c r="M97" s="6"/>
      <c r="N97" s="6">
        <v>45922</v>
      </c>
      <c r="O97" s="6">
        <v>45974</v>
      </c>
      <c r="P97" s="5">
        <v>0.39</v>
      </c>
      <c r="Q97" s="5">
        <v>24.54</v>
      </c>
      <c r="R97" s="4"/>
      <c r="S97" s="4" t="s">
        <v>69</v>
      </c>
    </row>
    <row r="98" spans="1:19" ht="70.05" customHeight="1" x14ac:dyDescent="0.3">
      <c r="A98" s="4" t="s">
        <v>982</v>
      </c>
      <c r="B98" s="4" t="s">
        <v>665</v>
      </c>
      <c r="C98" s="4" t="s">
        <v>983</v>
      </c>
      <c r="D98" s="4" t="s">
        <v>984</v>
      </c>
      <c r="E98" s="4" t="s">
        <v>388</v>
      </c>
      <c r="F98" s="4" t="s">
        <v>985</v>
      </c>
      <c r="G98" s="4" t="s">
        <v>93</v>
      </c>
      <c r="H98" s="4" t="s">
        <v>524</v>
      </c>
      <c r="I98" s="5">
        <v>28121067144</v>
      </c>
      <c r="J98" s="5">
        <v>142000000</v>
      </c>
      <c r="K98" s="5">
        <v>28263067144</v>
      </c>
      <c r="L98" s="6">
        <v>45861</v>
      </c>
      <c r="M98" s="6"/>
      <c r="N98" s="6">
        <v>45882</v>
      </c>
      <c r="O98" s="6">
        <v>45926</v>
      </c>
      <c r="P98" s="5">
        <v>7.97</v>
      </c>
      <c r="Q98" s="5">
        <v>27.96</v>
      </c>
      <c r="R98" s="4"/>
      <c r="S98" s="4" t="s">
        <v>986</v>
      </c>
    </row>
    <row r="99" spans="1:19" ht="70.05" customHeight="1" x14ac:dyDescent="0.3">
      <c r="A99" s="4" t="s">
        <v>987</v>
      </c>
      <c r="B99" s="4" t="s">
        <v>746</v>
      </c>
      <c r="C99" s="4" t="s">
        <v>988</v>
      </c>
      <c r="D99" s="4" t="s">
        <v>989</v>
      </c>
      <c r="E99" s="4" t="s">
        <v>74</v>
      </c>
      <c r="F99" s="4" t="s">
        <v>116</v>
      </c>
      <c r="G99" s="4" t="s">
        <v>230</v>
      </c>
      <c r="H99" s="4" t="s">
        <v>586</v>
      </c>
      <c r="I99" s="5">
        <v>1989520159</v>
      </c>
      <c r="J99" s="5">
        <v>835888647</v>
      </c>
      <c r="K99" s="5">
        <v>2825408806</v>
      </c>
      <c r="L99" s="6">
        <v>44078</v>
      </c>
      <c r="M99" s="6"/>
      <c r="N99" s="6">
        <v>44176</v>
      </c>
      <c r="O99" s="6"/>
      <c r="P99" s="5">
        <v>98.57</v>
      </c>
      <c r="Q99" s="5">
        <v>98.93</v>
      </c>
      <c r="R99" s="4"/>
      <c r="S99" s="4" t="s">
        <v>990</v>
      </c>
    </row>
    <row r="100" spans="1:19" ht="70.05" customHeight="1" x14ac:dyDescent="0.3">
      <c r="A100" s="4" t="s">
        <v>991</v>
      </c>
      <c r="B100" s="4" t="s">
        <v>992</v>
      </c>
      <c r="C100" s="4" t="s">
        <v>993</v>
      </c>
      <c r="D100" s="4" t="s">
        <v>994</v>
      </c>
      <c r="E100" s="4" t="s">
        <v>74</v>
      </c>
      <c r="F100" s="4" t="s">
        <v>116</v>
      </c>
      <c r="G100" s="4" t="s">
        <v>230</v>
      </c>
      <c r="H100" s="4" t="s">
        <v>586</v>
      </c>
      <c r="I100" s="5">
        <v>4869404585</v>
      </c>
      <c r="J100" s="5">
        <v>170383404</v>
      </c>
      <c r="K100" s="5">
        <v>5039787989</v>
      </c>
      <c r="L100" s="6">
        <v>44384</v>
      </c>
      <c r="M100" s="6"/>
      <c r="N100" s="6">
        <v>44407</v>
      </c>
      <c r="O100" s="6">
        <v>44560</v>
      </c>
      <c r="P100" s="5">
        <v>100</v>
      </c>
      <c r="Q100" s="5">
        <v>99.22</v>
      </c>
      <c r="R100" s="4"/>
      <c r="S100" s="4" t="s">
        <v>97</v>
      </c>
    </row>
    <row r="101" spans="1:19" ht="70.05" customHeight="1" x14ac:dyDescent="0.3">
      <c r="A101" s="4" t="s">
        <v>995</v>
      </c>
      <c r="B101" s="4" t="s">
        <v>640</v>
      </c>
      <c r="C101" s="4" t="s">
        <v>996</v>
      </c>
      <c r="D101" s="4" t="s">
        <v>997</v>
      </c>
      <c r="E101" s="4" t="s">
        <v>102</v>
      </c>
      <c r="F101" s="4" t="s">
        <v>998</v>
      </c>
      <c r="G101" s="4" t="s">
        <v>230</v>
      </c>
      <c r="H101" s="4" t="s">
        <v>586</v>
      </c>
      <c r="I101" s="5">
        <v>2644584337.2600002</v>
      </c>
      <c r="J101" s="5">
        <v>0</v>
      </c>
      <c r="K101" s="5">
        <v>2644584337.2600002</v>
      </c>
      <c r="L101" s="6">
        <v>44456</v>
      </c>
      <c r="M101" s="6"/>
      <c r="N101" s="6">
        <v>44489</v>
      </c>
      <c r="O101" s="6">
        <v>44859</v>
      </c>
      <c r="P101" s="5">
        <v>100</v>
      </c>
      <c r="Q101" s="5">
        <v>99.98</v>
      </c>
      <c r="R101" s="4"/>
      <c r="S101" s="4" t="s">
        <v>285</v>
      </c>
    </row>
    <row r="102" spans="1:19" ht="70.05" customHeight="1" x14ac:dyDescent="0.3">
      <c r="A102" s="4" t="s">
        <v>999</v>
      </c>
      <c r="B102" s="4" t="s">
        <v>594</v>
      </c>
      <c r="C102" s="4" t="s">
        <v>1000</v>
      </c>
      <c r="D102" s="4" t="s">
        <v>1001</v>
      </c>
      <c r="E102" s="4" t="s">
        <v>102</v>
      </c>
      <c r="F102" s="4" t="s">
        <v>1002</v>
      </c>
      <c r="G102" s="4" t="s">
        <v>230</v>
      </c>
      <c r="H102" s="4" t="s">
        <v>586</v>
      </c>
      <c r="I102" s="5">
        <v>6578630543.6700001</v>
      </c>
      <c r="J102" s="5">
        <v>0</v>
      </c>
      <c r="K102" s="5">
        <v>6578630543.6700001</v>
      </c>
      <c r="L102" s="6">
        <v>44559</v>
      </c>
      <c r="M102" s="6"/>
      <c r="N102" s="6">
        <v>44566</v>
      </c>
      <c r="O102" s="6">
        <v>44697</v>
      </c>
      <c r="P102" s="5">
        <v>100</v>
      </c>
      <c r="Q102" s="5">
        <v>100</v>
      </c>
      <c r="R102" s="4"/>
      <c r="S102" s="4" t="s">
        <v>597</v>
      </c>
    </row>
    <row r="103" spans="1:19" ht="70.05" customHeight="1" x14ac:dyDescent="0.3">
      <c r="A103" s="4" t="s">
        <v>1003</v>
      </c>
      <c r="B103" s="4" t="s">
        <v>970</v>
      </c>
      <c r="C103" s="4" t="s">
        <v>1004</v>
      </c>
      <c r="D103" s="4" t="s">
        <v>1005</v>
      </c>
      <c r="E103" s="4" t="s">
        <v>102</v>
      </c>
      <c r="F103" s="4" t="s">
        <v>105</v>
      </c>
      <c r="G103" s="4" t="s">
        <v>230</v>
      </c>
      <c r="H103" s="4" t="s">
        <v>586</v>
      </c>
      <c r="I103" s="5">
        <v>6853127845.6300001</v>
      </c>
      <c r="J103" s="5">
        <v>0</v>
      </c>
      <c r="K103" s="5">
        <v>6853127845.6300001</v>
      </c>
      <c r="L103" s="6">
        <v>45216</v>
      </c>
      <c r="M103" s="6"/>
      <c r="N103" s="6">
        <v>45219</v>
      </c>
      <c r="O103" s="6">
        <v>45286</v>
      </c>
      <c r="P103" s="5">
        <v>100</v>
      </c>
      <c r="Q103" s="5">
        <v>99.99</v>
      </c>
      <c r="R103" s="4"/>
      <c r="S103" s="4" t="s">
        <v>973</v>
      </c>
    </row>
    <row r="104" spans="1:19" ht="70.05" customHeight="1" x14ac:dyDescent="0.3">
      <c r="A104" s="4" t="s">
        <v>1006</v>
      </c>
      <c r="B104" s="4" t="s">
        <v>979</v>
      </c>
      <c r="C104" s="4" t="s">
        <v>1007</v>
      </c>
      <c r="D104" s="4"/>
      <c r="E104" s="4" t="s">
        <v>102</v>
      </c>
      <c r="F104" s="4" t="s">
        <v>1008</v>
      </c>
      <c r="G104" s="4" t="s">
        <v>1009</v>
      </c>
      <c r="H104" s="4" t="s">
        <v>579</v>
      </c>
      <c r="I104" s="5">
        <v>36139210439</v>
      </c>
      <c r="J104" s="5">
        <v>0</v>
      </c>
      <c r="K104" s="5">
        <v>36139210439</v>
      </c>
      <c r="L104" s="6">
        <v>46080</v>
      </c>
      <c r="M104" s="6"/>
      <c r="N104" s="6">
        <v>46091</v>
      </c>
      <c r="O104" s="6"/>
      <c r="P104" s="5">
        <v>0</v>
      </c>
      <c r="Q104" s="5">
        <v>0</v>
      </c>
      <c r="R104" s="4"/>
      <c r="S104" s="4" t="s">
        <v>285</v>
      </c>
    </row>
  </sheetData>
  <mergeCells count="1">
    <mergeCell ref="A1:S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8B3DFA865F6F034EB448FC5A52568A32" ma:contentTypeVersion="4" ma:contentTypeDescription="Crear nuevo documento." ma:contentTypeScope="" ma:versionID="2f51a7d93a285d3941b6523f943e8fd4">
  <xsd:schema xmlns:xsd="http://www.w3.org/2001/XMLSchema" xmlns:xs="http://www.w3.org/2001/XMLSchema" xmlns:p="http://schemas.microsoft.com/office/2006/metadata/properties" xmlns:ns2="b00b06bb-bd7e-41cd-b698-c4070c092581" targetNamespace="http://schemas.microsoft.com/office/2006/metadata/properties" ma:root="true" ma:fieldsID="efc4bcf9a5ebed2856ce64dac4174bb4" ns2:_="">
    <xsd:import namespace="b00b06bb-bd7e-41cd-b698-c4070c0925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00b06bb-bd7e-41cd-b698-c4070c0925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86AA879-F6E4-4512-AC7A-AB9CD1300842}">
  <ds:schemaRefs>
    <ds:schemaRef ds:uri="http://schemas.microsoft.com/sharepoint/v3/contenttype/forms"/>
  </ds:schemaRefs>
</ds:datastoreItem>
</file>

<file path=customXml/itemProps2.xml><?xml version="1.0" encoding="utf-8"?>
<ds:datastoreItem xmlns:ds="http://schemas.openxmlformats.org/officeDocument/2006/customXml" ds:itemID="{71FEB4F2-FA00-4CCF-8658-BE991A4AFC6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00b06bb-bd7e-41cd-b698-c4070c09258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5E8F416-0DD0-4166-9ACF-D00744BB634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MatrizSeguimientoEvaluacion</vt:lpstr>
      <vt:lpstr>OtrosEjecutoresDescentralizadas</vt:lpstr>
      <vt:lpstr>OtrosEjecutoresMunicipios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Indicadores</cp:lastModifiedBy>
  <dcterms:created xsi:type="dcterms:W3CDTF">2026-06-09T18:33:53Z</dcterms:created>
  <dcterms:modified xsi:type="dcterms:W3CDTF">2026-06-10T02:29:31Z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0x0101008B3DFA865F6F034EB448FC5A52568A32</vt:lpwstr>
  </property>
</Properties>
</file>